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P:\Control de Gestión\REPORTES Y BALANCES\BASE DE ANALISIS DESEMPEÑO ELECTRICO\INFORME _DE _DESEMPEÑO\2021\NOVIEMBRE\"/>
    </mc:Choice>
  </mc:AlternateContent>
  <xr:revisionPtr revIDLastSave="0" documentId="13_ncr:1_{8743848C-E6EB-4DEA-B262-D1CFFE706952}" xr6:coauthVersionLast="36" xr6:coauthVersionMax="36" xr10:uidLastSave="{00000000-0000-0000-0000-000000000000}"/>
  <bookViews>
    <workbookView xWindow="-108" yWindow="-108" windowWidth="23256" windowHeight="12600" tabRatio="714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" sheetId="14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AC43" i="14" l="1"/>
  <c r="AC42" i="14"/>
  <c r="AC46" i="14" s="1"/>
  <c r="AC41" i="14"/>
  <c r="AC45" i="14" s="1"/>
  <c r="AC33" i="14"/>
  <c r="AC32" i="14"/>
  <c r="AH24" i="14"/>
  <c r="AH25" i="14" s="1"/>
  <c r="AH26" i="14" s="1"/>
  <c r="AG24" i="14"/>
  <c r="AG25" i="14" s="1"/>
  <c r="AG26" i="14" s="1"/>
  <c r="AF24" i="14"/>
  <c r="AF25" i="14" s="1"/>
  <c r="AF26" i="14" s="1"/>
  <c r="Z24" i="14"/>
  <c r="Z25" i="14" s="1"/>
  <c r="Z26" i="14" s="1"/>
  <c r="Y24" i="14"/>
  <c r="Y25" i="14" s="1"/>
  <c r="Y26" i="14" s="1"/>
  <c r="X24" i="14"/>
  <c r="X25" i="14" s="1"/>
  <c r="X26" i="14" s="1"/>
  <c r="Q24" i="14"/>
  <c r="Q25" i="14" s="1"/>
  <c r="Q26" i="14" s="1"/>
  <c r="D23" i="14"/>
  <c r="D24" i="14" s="1"/>
  <c r="D25" i="14" s="1"/>
  <c r="D26" i="14" s="1"/>
  <c r="F19" i="14"/>
  <c r="Y18" i="14"/>
  <c r="Y19" i="14" s="1"/>
  <c r="AH17" i="14"/>
  <c r="AH18" i="14" s="1"/>
  <c r="AH19" i="14" s="1"/>
  <c r="AG17" i="14"/>
  <c r="AG18" i="14" s="1"/>
  <c r="AG19" i="14" s="1"/>
  <c r="AF17" i="14"/>
  <c r="AF18" i="14" s="1"/>
  <c r="AF19" i="14" s="1"/>
  <c r="AC17" i="14"/>
  <c r="AC18" i="14" s="1"/>
  <c r="AC19" i="14" s="1"/>
  <c r="Z17" i="14"/>
  <c r="Z18" i="14" s="1"/>
  <c r="Z19" i="14" s="1"/>
  <c r="X17" i="14"/>
  <c r="X18" i="14" s="1"/>
  <c r="X19" i="14" s="1"/>
  <c r="Q17" i="14"/>
  <c r="Q18" i="14" s="1"/>
  <c r="Q19" i="14" s="1"/>
  <c r="P17" i="14"/>
  <c r="P18" i="14" s="1"/>
  <c r="P19" i="14" s="1"/>
  <c r="E17" i="14"/>
  <c r="E18" i="14" s="1"/>
  <c r="E19" i="14" s="1"/>
  <c r="E22" i="14" s="1"/>
  <c r="E23" i="14" s="1"/>
  <c r="E24" i="14" s="1"/>
  <c r="E25" i="14" s="1"/>
  <c r="E26" i="14" s="1"/>
  <c r="Y16" i="14"/>
  <c r="E16" i="14"/>
  <c r="D16" i="14"/>
  <c r="D17" i="14" s="1"/>
  <c r="D18" i="14" s="1"/>
  <c r="D19" i="14" s="1"/>
  <c r="AG14" i="14"/>
  <c r="AD14" i="14"/>
  <c r="AC14" i="14"/>
  <c r="Z14" i="14"/>
  <c r="Y14" i="14"/>
  <c r="X14" i="14"/>
  <c r="Q14" i="14"/>
  <c r="P14" i="14"/>
  <c r="N14" i="14"/>
  <c r="H14" i="14"/>
  <c r="C160" i="8" l="1"/>
  <c r="C124" i="8"/>
  <c r="C88" i="8"/>
  <c r="C52" i="8"/>
  <c r="D162" i="8" l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C42" i="8" l="1"/>
  <c r="D42" i="8" s="1"/>
  <c r="D150" i="8"/>
  <c r="D114" i="8"/>
  <c r="D78" i="8"/>
  <c r="C53" i="8"/>
  <c r="C79" i="8" s="1"/>
  <c r="G198" i="8"/>
  <c r="G199" i="8"/>
  <c r="G200" i="8"/>
  <c r="G197" i="8"/>
  <c r="D201" i="8"/>
  <c r="E201" i="8"/>
  <c r="F201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G201" i="8" l="1"/>
  <c r="D125" i="8"/>
  <c r="D151" i="8" s="1"/>
  <c r="C161" i="8" l="1"/>
  <c r="C188" i="8" s="1"/>
  <c r="D161" i="8" l="1"/>
  <c r="D188" i="8" s="1"/>
  <c r="D72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90" i="8"/>
  <c r="D67" i="8"/>
  <c r="D89" i="8" l="1"/>
  <c r="D115" i="8" s="1"/>
  <c r="C125" i="8" l="1"/>
  <c r="C151" i="8" s="1"/>
  <c r="C89" i="8" l="1"/>
  <c r="C115" i="8" s="1"/>
  <c r="D76" i="8" l="1"/>
  <c r="D7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D41" i="8" l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C17" i="8"/>
  <c r="C43" i="8" s="1"/>
  <c r="FX102" i="7"/>
  <c r="FX107" i="7"/>
  <c r="D69" i="8" l="1"/>
  <c r="D70" i="8"/>
  <c r="D73" i="8"/>
  <c r="D74" i="8"/>
  <c r="D75" i="8"/>
  <c r="D59" i="8" l="1"/>
  <c r="D63" i="8"/>
  <c r="D54" i="8"/>
  <c r="D58" i="8"/>
  <c r="D62" i="8"/>
  <c r="D66" i="8"/>
  <c r="D56" i="8"/>
  <c r="D60" i="8"/>
  <c r="D64" i="8"/>
  <c r="D68" i="8"/>
  <c r="D61" i="8"/>
  <c r="D65" i="8"/>
  <c r="D55" i="8"/>
  <c r="D57" i="8"/>
  <c r="D71" i="8"/>
  <c r="E208" i="8"/>
  <c r="D208" i="8"/>
  <c r="E275" i="8"/>
  <c r="D275" i="8"/>
  <c r="C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C217" i="8"/>
  <c r="D217" i="8"/>
  <c r="E217" i="8"/>
  <c r="F243" i="8"/>
  <c r="F242" i="8"/>
  <c r="E241" i="8"/>
  <c r="D241" i="8"/>
  <c r="C241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F216" i="8"/>
  <c r="F215" i="8"/>
  <c r="E214" i="8"/>
  <c r="D214" i="8"/>
  <c r="C214" i="8"/>
  <c r="F213" i="8"/>
  <c r="F212" i="8"/>
  <c r="E211" i="8"/>
  <c r="D211" i="8"/>
  <c r="C211" i="8"/>
  <c r="C201" i="8"/>
  <c r="F214" i="8" l="1"/>
  <c r="F211" i="8"/>
  <c r="D17" i="8"/>
  <c r="D43" i="8" s="1"/>
  <c r="F217" i="8"/>
  <c r="F220" i="8"/>
  <c r="F232" i="8"/>
  <c r="F226" i="8"/>
  <c r="F238" i="8"/>
  <c r="F210" i="8"/>
  <c r="C208" i="8"/>
  <c r="F209" i="8"/>
  <c r="F275" i="8"/>
  <c r="F235" i="8"/>
  <c r="F229" i="8"/>
  <c r="F241" i="8"/>
  <c r="F223" i="8"/>
  <c r="E244" i="8"/>
  <c r="D244" i="8"/>
  <c r="C244" i="8" l="1"/>
  <c r="F208" i="8"/>
  <c r="F244" i="8" s="1"/>
  <c r="C45" i="8" l="1"/>
  <c r="C81" i="8" l="1"/>
  <c r="C153" i="8"/>
  <c r="C190" i="8"/>
  <c r="B119" i="8"/>
  <c r="B120" i="8"/>
  <c r="B47" i="8"/>
  <c r="B83" i="8"/>
  <c r="B155" i="8"/>
  <c r="C117" i="8" l="1"/>
  <c r="D53" i="8"/>
  <c r="D79" i="8" s="1"/>
  <c r="FX25" i="5" l="1"/>
  <c r="FX209" i="7"/>
  <c r="FX210" i="7"/>
  <c r="FX149" i="7"/>
  <c r="FX208" i="7"/>
  <c r="FX150" i="7"/>
  <c r="FX148" i="7"/>
  <c r="FX147" i="7"/>
  <c r="FX25" i="7"/>
  <c r="FX74" i="7"/>
  <c r="FX54" i="7"/>
  <c r="FX73" i="7"/>
  <c r="FX53" i="7"/>
  <c r="FX75" i="7"/>
  <c r="FX55" i="7"/>
  <c r="FX24" i="7"/>
  <c r="FX76" i="7"/>
  <c r="FX56" i="7"/>
  <c r="FX207" i="7" l="1"/>
  <c r="FX26" i="7"/>
  <c r="FX65" i="7"/>
  <c r="FX66" i="7"/>
  <c r="FX64" i="7"/>
  <c r="FX63" i="7"/>
  <c r="FX23" i="7" l="1"/>
  <c r="FX14" i="1"/>
  <c r="FX19" i="1"/>
  <c r="FX49" i="1"/>
  <c r="FX46" i="1"/>
  <c r="FX47" i="1"/>
  <c r="FX44" i="1"/>
  <c r="FX45" i="1"/>
  <c r="FX26" i="1"/>
  <c r="FX16" i="1"/>
  <c r="FX27" i="1"/>
  <c r="FX9" i="1"/>
  <c r="FX28" i="1"/>
  <c r="FX11" i="1"/>
  <c r="FX21" i="1"/>
  <c r="FX29" i="1"/>
  <c r="FX10" i="1"/>
  <c r="FX22" i="1"/>
  <c r="FX20" i="1"/>
  <c r="FX23" i="1"/>
  <c r="FX12" i="1"/>
  <c r="FX24" i="1"/>
  <c r="FX13" i="1"/>
  <c r="FX25" i="1"/>
  <c r="FX15" i="1"/>
  <c r="FX34" i="7" l="1"/>
  <c r="FX41" i="1"/>
  <c r="FX34" i="1"/>
  <c r="FX36" i="1"/>
  <c r="FX32" i="1"/>
  <c r="FX33" i="1"/>
  <c r="FX35" i="1"/>
  <c r="FX39" i="1" l="1"/>
  <c r="FX38" i="1"/>
  <c r="FX40" i="1"/>
  <c r="FX37" i="1"/>
  <c r="FX10" i="4"/>
  <c r="FX11" i="4"/>
  <c r="FV39" i="4"/>
  <c r="FX12" i="4"/>
  <c r="FW39" i="4"/>
  <c r="FX13" i="4"/>
  <c r="FX39" i="4"/>
  <c r="FX14" i="4"/>
  <c r="FX9" i="4"/>
  <c r="FX35" i="7"/>
  <c r="FX29" i="7"/>
  <c r="FX19" i="4" l="1"/>
  <c r="FX36" i="7"/>
  <c r="FX30" i="7"/>
  <c r="FX20" i="4" l="1"/>
  <c r="FX33" i="7"/>
  <c r="FX31" i="7"/>
  <c r="FX21" i="4" l="1"/>
  <c r="FX39" i="7"/>
  <c r="FX28" i="7"/>
  <c r="FX22" i="4" l="1"/>
  <c r="FX40" i="7"/>
  <c r="FX9" i="7"/>
  <c r="FX10" i="7" l="1"/>
  <c r="FX23" i="4"/>
  <c r="FX41" i="7"/>
  <c r="FX153" i="7"/>
  <c r="FX24" i="4" l="1"/>
  <c r="FX11" i="7"/>
  <c r="FX38" i="7"/>
  <c r="FX154" i="7"/>
  <c r="FX49" i="7" l="1"/>
  <c r="FX8" i="7"/>
  <c r="FX155" i="7"/>
  <c r="FX18" i="4"/>
  <c r="FX19" i="7" l="1"/>
  <c r="FX50" i="7"/>
  <c r="FX152" i="7"/>
  <c r="FX44" i="7"/>
  <c r="FX51" i="7" l="1"/>
  <c r="FX20" i="7"/>
  <c r="FX14" i="7"/>
  <c r="FX45" i="7"/>
  <c r="FX21" i="7" l="1"/>
  <c r="FX48" i="7"/>
  <c r="FX15" i="7"/>
  <c r="FX46" i="7"/>
  <c r="FX18" i="7" l="1"/>
  <c r="FX16" i="7"/>
  <c r="FX43" i="7"/>
  <c r="FX13" i="7" l="1"/>
  <c r="FX199" i="7" l="1"/>
  <c r="FX71" i="7"/>
  <c r="FX198" i="7"/>
  <c r="FX204" i="7"/>
  <c r="FX195" i="7"/>
  <c r="FX95" i="7"/>
  <c r="FX193" i="7"/>
  <c r="FX203" i="7"/>
  <c r="FX81" i="7"/>
  <c r="FX86" i="7"/>
  <c r="FX96" i="7"/>
  <c r="FX70" i="7"/>
  <c r="FX84" i="7"/>
  <c r="FX194" i="7"/>
  <c r="FX79" i="7"/>
  <c r="FX90" i="7"/>
  <c r="FX80" i="7"/>
  <c r="FX85" i="7"/>
  <c r="FX89" i="7"/>
  <c r="FX94" i="7"/>
  <c r="FX101" i="7"/>
  <c r="FX91" i="7"/>
  <c r="FX205" i="7"/>
  <c r="FX99" i="7"/>
  <c r="FX69" i="7"/>
  <c r="FX100" i="7"/>
  <c r="FX200" i="7"/>
  <c r="FX61" i="7" l="1"/>
  <c r="FX93" i="7"/>
  <c r="FX78" i="7"/>
  <c r="FX98" i="7"/>
  <c r="FX165" i="7"/>
  <c r="FX192" i="7"/>
  <c r="FX164" i="7"/>
  <c r="FX60" i="7"/>
  <c r="FX83" i="7"/>
  <c r="FX185" i="7"/>
  <c r="FX184" i="7"/>
  <c r="FX163" i="7"/>
  <c r="FX68" i="7"/>
  <c r="FX88" i="7"/>
  <c r="FX202" i="7"/>
  <c r="FX59" i="7"/>
  <c r="FX183" i="7"/>
  <c r="FX197" i="7"/>
  <c r="FX175" i="7" l="1"/>
  <c r="FX162" i="7"/>
  <c r="FX173" i="7"/>
  <c r="FX182" i="7"/>
  <c r="FX58" i="7"/>
  <c r="FX174" i="7"/>
  <c r="FX172" i="7" l="1"/>
  <c r="FX8" i="4" l="1"/>
  <c r="FX16" i="4" l="1"/>
  <c r="FX113" i="7" l="1"/>
  <c r="FX114" i="7"/>
  <c r="FX103" i="7"/>
  <c r="FX105" i="7"/>
  <c r="FX106" i="7"/>
  <c r="FX104" i="7"/>
  <c r="FX115" i="7" l="1"/>
  <c r="FX117" i="7"/>
  <c r="FX112" i="7" l="1"/>
  <c r="FX118" i="7"/>
  <c r="FX119" i="7" l="1"/>
  <c r="FX116" i="7" l="1"/>
  <c r="FX121" i="7"/>
  <c r="FX122" i="7" l="1"/>
  <c r="FX123" i="7" l="1"/>
  <c r="FX120" i="7" l="1"/>
  <c r="FX125" i="7"/>
  <c r="FX126" i="7" l="1"/>
  <c r="FX127" i="7" l="1"/>
  <c r="FX124" i="7" l="1"/>
  <c r="FX129" i="7"/>
  <c r="FX9" i="5" l="1"/>
  <c r="FX130" i="7"/>
  <c r="FX10" i="5" l="1"/>
  <c r="FX131" i="7"/>
  <c r="FX128" i="7" l="1"/>
  <c r="FX8" i="5"/>
  <c r="FX133" i="7" l="1"/>
  <c r="FX134" i="7" l="1"/>
  <c r="FX109" i="7"/>
  <c r="FX110" i="7" l="1"/>
  <c r="FX135" i="7"/>
  <c r="FX111" i="7" l="1"/>
  <c r="FX132" i="7"/>
  <c r="FX108" i="7" l="1"/>
  <c r="FX139" i="7"/>
  <c r="FX140" i="7" l="1"/>
  <c r="FX143" i="7" l="1"/>
  <c r="FX144" i="7" l="1"/>
  <c r="FX26" i="4" l="1"/>
  <c r="FX29" i="4" l="1"/>
  <c r="FX30" i="4" l="1"/>
  <c r="FX31" i="4" l="1"/>
  <c r="FX32" i="4" l="1"/>
  <c r="FX35" i="4" l="1"/>
  <c r="FX28" i="4"/>
  <c r="FX37" i="4" l="1"/>
  <c r="FX34" i="4"/>
  <c r="FX12" i="5" l="1"/>
  <c r="FX15" i="5" l="1"/>
  <c r="FX16" i="5" l="1"/>
  <c r="FX17" i="5" l="1"/>
  <c r="FX18" i="5" l="1"/>
  <c r="FX21" i="5" l="1"/>
  <c r="FX14" i="5"/>
  <c r="FX23" i="5" l="1"/>
  <c r="FX20" i="5"/>
  <c r="FX138" i="7" l="1"/>
  <c r="FX137" i="7" l="1"/>
  <c r="FX145" i="7" l="1"/>
  <c r="FX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<sst xmlns="http://schemas.openxmlformats.org/spreadsheetml/2006/main" count="1428" uniqueCount="380">
  <si>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</si>
  <si>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</si>
  <si>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</si>
  <si>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</si>
  <si>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</si>
  <si>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</si>
  <si>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</si>
  <si>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</si>
  <si>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</si>
  <si>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</si>
  <si>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</si>
  <si>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</si>
  <si>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</si>
  <si>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</si>
  <si>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</si>
  <si>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</si>
  <si>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</si>
  <si>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</si>
  <si>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</si>
  <si>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</si>
  <si>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</si>
  <si>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</si>
  <si>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</si>
  <si>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</si>
  <si>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</si>
  <si>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</si>
  <si>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</si>
  <si>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</si>
  <si>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</si>
  <si>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</si>
  <si>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</si>
  <si>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</si>
  <si>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</si>
  <si>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</si>
  <si>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</si>
  <si>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</si>
  <si>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</si>
  <si>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</si>
  <si>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</si>
  <si>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</si>
  <si>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</si>
  <si>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</si>
  <si>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</si>
  <si>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</si>
  <si>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</si>
  <si>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</si>
  <si>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</si>
  <si>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</si>
  <si>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</si>
  <si>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</si>
  <si>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</si>
  <si>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</si>
  <si>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</si>
  <si>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</si>
  <si>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</si>
  <si>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</si>
  <si>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</si>
  <si>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</si>
  <si>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</si>
  <si>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</si>
  <si>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</si>
  <si>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</si>
  <si>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</si>
  <si>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</si>
  <si>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</si>
  <si>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</si>
  <si>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</si>
  <si>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</si>
  <si>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</si>
  <si>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</si>
  <si>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</si>
  <si>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</si>
  <si>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</si>
  <si>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</si>
  <si>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</si>
  <si>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</si>
  <si>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</si>
  <si>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</si>
  <si>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</si>
  <si>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</si>
  <si>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</si>
  <si>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</si>
  <si>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</si>
  <si>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</si>
  <si>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</si>
  <si>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</si>
  <si>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</si>
  <si>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</si>
  <si>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</si>
  <si>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</si>
  <si>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</si>
  <si>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</si>
  <si>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</si>
  <si>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</si>
  <si>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</si>
  <si>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</si>
  <si>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</si>
  <si>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</si>
  <si>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</si>
  <si>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</si>
  <si>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</si>
  <si>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</si>
  <si>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</si>
  <si>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</si>
  <si>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</si>
  <si>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</si>
  <si>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</si>
  <si>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</si>
  <si>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</si>
  <si>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</si>
  <si>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</si>
  <si>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</si>
  <si>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</si>
  <si>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</si>
  <si>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</si>
  <si>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</si>
  <si>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</si>
  <si>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</si>
  <si>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</si>
  <si>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</si>
  <si>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</si>
  <si>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</si>
  <si>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</si>
  <si>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</si>
  <si>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</si>
  <si>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</si>
  <si>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</si>
  <si>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</si>
  <si>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</si>
  <si>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</si>
  <si>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</si>
  <si>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</si>
  <si>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</si>
  <si>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</si>
  <si>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</si>
  <si>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</si>
  <si>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</si>
  <si>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</si>
  <si>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</si>
  <si>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</si>
  <si>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</si>
  <si>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</si>
  <si>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</si>
  <si>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</si>
  <si>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</si>
  <si>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</si>
  <si>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</si>
  <si>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</si>
  <si>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</si>
  <si>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</si>
  <si>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</si>
  <si>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</si>
  <si>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</si>
  <si>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</si>
  <si>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</si>
  <si>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</si>
  <si>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</si>
  <si>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</si>
  <si>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</si>
  <si>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</si>
  <si>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</si>
  <si>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</si>
  <si>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</si>
  <si>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</si>
  <si>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</si>
  <si>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</si>
  <si>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</si>
  <si>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</si>
  <si>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</si>
  <si>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</si>
  <si>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</si>
  <si>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</si>
  <si>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</si>
  <si>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</si>
  <si>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</si>
  <si>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</si>
  <si>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</si>
  <si>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</si>
  <si>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</si>
  <si>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</si>
  <si>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</si>
  <si>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</si>
  <si>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</si>
  <si>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</si>
  <si>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</si>
  <si>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</si>
  <si>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</si>
  <si>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</si>
  <si>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</si>
  <si>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</si>
  <si>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</si>
  <si>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</si>
  <si>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</si>
  <si>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</si>
  <si>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</si>
  <si>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</si>
  <si>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</si>
  <si>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</si>
  <si>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</si>
  <si>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</si>
  <si>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</si>
  <si>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</si>
  <si>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</si>
  <si>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</si>
  <si>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</si>
  <si>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</si>
  <si>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</si>
  <si>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</si>
  <si>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</si>
  <si>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</si>
  <si>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</si>
  <si>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</si>
  <si>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</si>
  <si>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</si>
  <si>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</si>
  <si>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</si>
  <si>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</si>
  <si>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</si>
  <si>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</si>
  <si>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</si>
  <si>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</si>
  <si>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</si>
  <si>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</si>
  <si>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</si>
  <si>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</si>
  <si>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</si>
  <si>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</si>
  <si>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</si>
  <si>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</si>
  <si>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</si>
  <si>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</si>
  <si>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</si>
  <si>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</si>
  <si>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</si>
  <si>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</si>
  <si>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</si>
  <si>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</si>
  <si>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</si>
  <si>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</si>
  <si>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</si>
  <si>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</si>
  <si>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</si>
  <si>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</si>
  <si>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</si>
  <si>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</si>
  <si>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</si>
  <si>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</si>
  <si>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</si>
  <si>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</si>
  <si>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</si>
  <si>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</si>
  <si>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</si>
  <si>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</si>
  <si>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</si>
  <si>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</si>
  <si>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</si>
  <si>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</si>
  <si>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</si>
  <si>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</si>
  <si>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</si>
  <si>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</si>
  <si>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</si>
  <si>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</si>
  <si>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</si>
  <si>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</si>
  <si>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</si>
  <si>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</si>
  <si>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</si>
  <si>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</si>
  <si>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</si>
  <si>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</si>
  <si>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</si>
  <si>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</si>
  <si>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</si>
  <si>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</si>
  <si>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</si>
  <si>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</si>
  <si>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</si>
  <si>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</si>
  <si>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</si>
  <si>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</si>
  <si>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</si>
  <si>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</si>
  <si>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</si>
  <si>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</si>
  <si>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</si>
  <si>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</si>
  <si>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</si>
  <si>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</si>
  <si>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</si>
  <si>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</si>
  <si>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</si>
  <si>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</si>
  <si>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</si>
  <si>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</si>
  <si>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</si>
  <si>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</si>
  <si>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</si>
  <si>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</si>
  <si>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</si>
  <si>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</si>
  <si>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</si>
  <si>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</si>
  <si>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</si>
  <si>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</si>
  <si>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</si>
  <si>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</si>
  <si>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</si>
  <si>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</si>
  <si>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</si>
  <si>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</si>
  <si>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</si>
  <si>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</si>
  <si>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</si>
  <si>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</si>
  <si>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</si>
  <si>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</si>
  <si>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</si>
  <si>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</si>
  <si>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</si>
  <si>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</si>
  <si>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</si>
  <si>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</si>
  <si>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</si>
  <si>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</si>
  <si>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</si>
  <si>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</si>
  <si>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</si>
  <si>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</si>
  <si>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Deuda Corriente a Noviembre 2021</t>
  </si>
  <si>
    <t>Deuda Congelada con los Generadores Privados a Noviembre 2021</t>
  </si>
  <si>
    <t xml:space="preserve">Pagos EDEs Por Compra de Energía,  Derecho de Conexión, Intereses, Reliquidaciones y Deuda Congelada Noviembre 2021 </t>
  </si>
  <si>
    <t>Balance Pendiente de Pago por Concepto de Facturación de Intereses Corrientes a los Generadores Privados Noviembre 2021</t>
  </si>
  <si>
    <t>Ene21-Nov21</t>
  </si>
  <si>
    <t>Ene20-Nov20</t>
  </si>
  <si>
    <t>Comparación 2020 - 2021</t>
  </si>
  <si>
    <t>Ene19-Nov19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</si>
  <si>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</si>
  <si>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</si>
  <si>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</si>
  <si>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</si>
  <si>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</si>
  <si>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</si>
  <si>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</si>
  <si>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</si>
  <si>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</si>
  <si>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</si>
  <si>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</si>
  <si>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</si>
  <si>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</si>
  <si>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</si>
  <si>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</si>
  <si>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</si>
  <si>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</si>
  <si>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</si>
  <si>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</si>
  <si>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</si>
  <si>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</si>
  <si>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</si>
  <si>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</si>
  <si>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</si>
  <si>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</si>
  <si>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</si>
  <si>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</si>
  <si>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</si>
  <si>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</si>
  <si>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</si>
  <si>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</si>
  <si>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</si>
  <si>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</si>
  <si>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</si>
  <si>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Noviembre 2021</t>
  </si>
  <si>
    <t>Ejecutado Enero - Noviembre 2021</t>
  </si>
  <si>
    <t>Acumulado a Noviembre 2021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</si>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</sst>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8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45" fillId="0" borderId="0" xfId="0" applyFont="1" applyAlignment="1">
      <alignment horizontal="center" vertical="center" wrapText="1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64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26" xfId="0" applyFont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0B7FF-5D36-48E7-85B4-C4443BEA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04" y="44303"/>
          <a:ext cx="1346791" cy="8506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34178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001AE-0DBC-43D3-BAFD-C4C46A494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199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R102"/>
  <sheetViews>
    <sheetView showGridLines="0" tabSelected="1" zoomScale="85" zoomScaleNormal="85" workbookViewId="0">
      <pane xSplit="11" ySplit="7" topLeftCell="FC8" activePane="bottomRight" state="frozen"/>
      <selection activeCell="B9" sqref="B9"/>
      <selection pane="topRight" activeCell="B9" sqref="B9"/>
      <selection pane="bottomLeft" activeCell="B9" sqref="B9"/>
      <selection pane="bottomRight" activeCell="FJ11" sqref="FJ11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6" width="9.33203125" style="358" customWidth="1"/>
    <col min="167" max="167" width="11.33203125" style="1" customWidth="1"/>
    <col min="168" max="175" width="9.33203125" style="1" customWidth="1"/>
    <col min="176" max="178" width="12.44140625" style="360" customWidth="1"/>
    <col min="179" max="179" width="13.44140625" style="1" customWidth="1"/>
    <col min="180" max="180" width="13.44140625" style="358" customWidth="1"/>
    <col min="181" max="187" width="11" style="1" bestFit="1" customWidth="1"/>
    <col min="188" max="188" width="11.109375" style="1" customWidth="1"/>
    <col min="189" max="189" width="10.44140625" style="1" customWidth="1"/>
    <col min="190" max="190" width="13.33203125" style="1" customWidth="1"/>
    <col min="191" max="16384" width="11.44140625" style="1"/>
  </cols>
  <sheetData>
    <row r="1" spans="1:200" x14ac:dyDescent="0.3">
      <c r="A1" s="2"/>
    </row>
    <row r="2" spans="1:200" ht="15.6" x14ac:dyDescent="0.3">
      <c r="B2" s="471" t="s">
        <v>322</v>
      </c>
    </row>
    <row r="3" spans="1:200" x14ac:dyDescent="0.3">
      <c r="B3" s="5" t="s">
        <v>0</v>
      </c>
      <c r="FR3" s="378"/>
    </row>
    <row r="4" spans="1:200" x14ac:dyDescent="0.3">
      <c r="B4" s="5" t="s">
        <v>1</v>
      </c>
      <c r="D4" s="6"/>
      <c r="FR4" s="361"/>
    </row>
    <row r="5" spans="1:200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R5" s="304"/>
    </row>
    <row r="6" spans="1:200" ht="12.75" customHeight="1" x14ac:dyDescent="0.3">
      <c r="B6" s="10"/>
      <c r="C6" s="484" t="s">
        <v>333</v>
      </c>
      <c r="D6" s="484" t="s">
        <v>334</v>
      </c>
      <c r="E6" s="485" t="s">
        <v>335</v>
      </c>
      <c r="F6" s="485"/>
      <c r="G6" s="423"/>
      <c r="H6" s="484" t="s">
        <v>336</v>
      </c>
      <c r="I6" s="485" t="s">
        <v>337</v>
      </c>
      <c r="J6" s="485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J6" s="316"/>
      <c r="FL6" s="483" t="s">
        <v>2</v>
      </c>
      <c r="FM6" s="483"/>
      <c r="FN6" s="483"/>
      <c r="FO6" s="483"/>
      <c r="FP6" s="483"/>
      <c r="FQ6" s="483"/>
      <c r="FR6" s="483"/>
      <c r="FS6" s="483"/>
      <c r="FT6" s="380"/>
      <c r="FU6" s="412"/>
      <c r="FV6" s="415"/>
    </row>
    <row r="7" spans="1:200" s="3" customFormat="1" x14ac:dyDescent="0.3">
      <c r="A7" s="11"/>
      <c r="B7" s="12"/>
      <c r="C7" s="484"/>
      <c r="D7" s="484"/>
      <c r="E7" s="355" t="s">
        <v>3</v>
      </c>
      <c r="F7" s="355" t="s">
        <v>4</v>
      </c>
      <c r="G7" s="357"/>
      <c r="H7" s="484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15"/>
      <c r="FL7" s="16">
        <v>2009</v>
      </c>
      <c r="FM7" s="16">
        <v>2010</v>
      </c>
      <c r="FN7" s="16" t="s">
        <v>297</v>
      </c>
      <c r="FO7" s="16" t="s">
        <v>298</v>
      </c>
      <c r="FP7" s="16" t="s">
        <v>299</v>
      </c>
      <c r="FQ7" s="16" t="s">
        <v>300</v>
      </c>
      <c r="FR7" s="16" t="s">
        <v>301</v>
      </c>
      <c r="FS7" s="16" t="s">
        <v>302</v>
      </c>
      <c r="FT7" s="334" t="s">
        <v>303</v>
      </c>
      <c r="FU7" s="334" t="s">
        <v>304</v>
      </c>
      <c r="FV7" s="334" t="s">
        <v>305</v>
      </c>
      <c r="FW7" s="334" t="s">
        <v>306</v>
      </c>
      <c r="FX7" s="334" t="s">
        <v>307</v>
      </c>
    </row>
    <row r="8" spans="1:200" s="3" customFormat="1" x14ac:dyDescent="0.3">
      <c r="A8" s="17"/>
      <c r="B8" s="18" t="s">
        <v>338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J8" s="360"/>
      <c r="FL8" s="426"/>
      <c r="FM8" s="426"/>
      <c r="FN8" s="426"/>
      <c r="FO8" s="426"/>
      <c r="FP8" s="426"/>
      <c r="FQ8" s="426"/>
      <c r="FR8" s="426"/>
      <c r="FS8" s="426"/>
      <c r="FT8" s="426"/>
      <c r="FU8" s="426"/>
      <c r="FV8" s="426"/>
      <c r="FW8" s="426"/>
      <c r="FX8" s="426"/>
      <c r="FY8" s="360"/>
      <c r="FZ8" s="360"/>
      <c r="GA8" s="360"/>
      <c r="GB8" s="360"/>
      <c r="GC8" s="360"/>
      <c r="GD8" s="360"/>
      <c r="GE8" s="360"/>
    </row>
    <row r="9" spans="1:200" s="3" customFormat="1" x14ac:dyDescent="0.3">
      <c r="A9" s="17">
        <v>8</v>
      </c>
      <c r="B9" s="21" t="s">
        <v>339</v>
      </c>
      <c r="C9" s="364">
        <v>76.219468732908453</v>
      </c>
      <c r="D9" s="364">
        <v>46.044102557633749</v>
      </c>
      <c r="E9" s="364">
        <v>30.175366175274704</v>
      </c>
      <c r="F9" s="361">
        <v>0.65535789599773331</v>
      </c>
      <c r="G9" s="364"/>
      <c r="H9" s="364">
        <v>76.474630808101821</v>
      </c>
      <c r="I9" s="364">
        <v>-30.430528250468072</v>
      </c>
      <c r="J9" s="361">
        <v>-0.3979166414915758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>
        <v>75.104781818181834</v>
      </c>
      <c r="FH9" s="364">
        <v>83.538199999999989</v>
      </c>
      <c r="FI9" s="364">
        <v>96.419999999999987</v>
      </c>
      <c r="FJ9" s="364">
        <v>90.666450000000026</v>
      </c>
      <c r="FK9" s="364"/>
      <c r="FL9" s="22">
        <v>68.158585606060598</v>
      </c>
      <c r="FM9" s="22">
        <v>88.439219504108578</v>
      </c>
      <c r="FN9" s="364">
        <v>122.76751840961099</v>
      </c>
      <c r="FO9" s="364">
        <v>126.02046948009847</v>
      </c>
      <c r="FP9" s="364">
        <v>121.75226607291448</v>
      </c>
      <c r="FQ9" s="364">
        <v>111.38595673150265</v>
      </c>
      <c r="FR9" s="364">
        <v>63.80755364832536</v>
      </c>
      <c r="FS9" s="364">
        <v>51.024839000762789</v>
      </c>
      <c r="FT9" s="364">
        <v>63.41624926912143</v>
      </c>
      <c r="FU9" s="364">
        <v>82.444337144268772</v>
      </c>
      <c r="FV9" s="364">
        <v>76.522728240760003</v>
      </c>
      <c r="FW9" s="364">
        <v>46.90772128389154</v>
      </c>
      <c r="FX9" s="364">
        <f t="shared" ref="FX9:FX49" si="0">C9</f>
        <v>76.219468732908453</v>
      </c>
      <c r="FY9" s="410"/>
      <c r="FZ9" s="410"/>
      <c r="GA9" s="410"/>
      <c r="GB9" s="410"/>
      <c r="GC9" s="410"/>
      <c r="GD9" s="410"/>
      <c r="GE9" s="410"/>
      <c r="GF9" s="410"/>
      <c r="GG9" s="410"/>
      <c r="GH9" s="410"/>
      <c r="GI9" s="364"/>
      <c r="GJ9" s="360"/>
      <c r="GK9" s="360"/>
      <c r="GL9" s="360"/>
      <c r="GM9" s="360"/>
      <c r="GN9" s="360"/>
      <c r="GO9" s="360"/>
      <c r="GP9" s="360"/>
      <c r="GQ9" s="360"/>
      <c r="GR9" s="360"/>
    </row>
    <row r="10" spans="1:200" s="3" customFormat="1" x14ac:dyDescent="0.3">
      <c r="A10" s="17">
        <v>12</v>
      </c>
      <c r="B10" s="21" t="s">
        <v>340</v>
      </c>
      <c r="C10" s="364">
        <v>13.853047752255257</v>
      </c>
      <c r="D10" s="364">
        <v>8.3686118788865382</v>
      </c>
      <c r="E10" s="364">
        <v>5.4844358733687191</v>
      </c>
      <c r="F10" s="361">
        <v>0.65535789599773331</v>
      </c>
      <c r="G10" s="364"/>
      <c r="H10" s="364">
        <v>13.899423992748416</v>
      </c>
      <c r="I10" s="364">
        <v>-5.5308121138618773</v>
      </c>
      <c r="J10" s="361">
        <v>-0.39791664149157574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>
        <v>13.650451075641913</v>
      </c>
      <c r="FH10" s="364">
        <v>15.183242457288252</v>
      </c>
      <c r="FI10" s="364">
        <v>17.52453653217011</v>
      </c>
      <c r="FJ10" s="364">
        <v>16.478816793893127</v>
      </c>
      <c r="FK10" s="364"/>
      <c r="FL10" s="364">
        <v>12.387965395503556</v>
      </c>
      <c r="FM10" s="364">
        <v>16.074012996021185</v>
      </c>
      <c r="FN10" s="364">
        <v>22.313253073357131</v>
      </c>
      <c r="FO10" s="364">
        <v>22.904483729570781</v>
      </c>
      <c r="FP10" s="364">
        <v>22.128728839133853</v>
      </c>
      <c r="FQ10" s="364">
        <v>20.24463044920077</v>
      </c>
      <c r="FR10" s="364">
        <v>11.597156242879924</v>
      </c>
      <c r="FS10" s="364">
        <v>9.2738711379067187</v>
      </c>
      <c r="FT10" s="364">
        <v>11.526035854075134</v>
      </c>
      <c r="FU10" s="364">
        <v>14.984430596922708</v>
      </c>
      <c r="FV10" s="364">
        <v>13.908165801664843</v>
      </c>
      <c r="FW10" s="364">
        <v>8.5255763874757395</v>
      </c>
      <c r="FX10" s="364">
        <f t="shared" si="0"/>
        <v>13.853047752255257</v>
      </c>
      <c r="FY10" s="410"/>
      <c r="FZ10" s="410"/>
      <c r="GA10" s="410"/>
      <c r="GB10" s="410"/>
      <c r="GC10" s="410"/>
      <c r="GD10" s="410"/>
      <c r="GE10" s="410"/>
      <c r="GF10" s="410"/>
      <c r="GG10" s="410"/>
      <c r="GH10" s="41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</row>
    <row r="11" spans="1:200" s="3" customFormat="1" x14ac:dyDescent="0.3">
      <c r="A11" s="17">
        <v>9</v>
      </c>
      <c r="B11" s="21" t="s">
        <v>341</v>
      </c>
      <c r="C11" s="364">
        <v>60.029948458416975</v>
      </c>
      <c r="D11" s="364">
        <v>34.403853435240997</v>
      </c>
      <c r="E11" s="364">
        <v>25.626095023175978</v>
      </c>
      <c r="F11" s="361">
        <v>0.74486118455923678</v>
      </c>
      <c r="G11" s="364"/>
      <c r="H11" s="364">
        <v>54.717103576404185</v>
      </c>
      <c r="I11" s="364">
        <v>-20.313250141163188</v>
      </c>
      <c r="J11" s="361">
        <v>-0.37124132699748619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>
        <v>60.640000000000008</v>
      </c>
      <c r="FH11" s="364">
        <v>65.202380952380949</v>
      </c>
      <c r="FI11" s="364">
        <v>72.973809523809521</v>
      </c>
      <c r="FJ11" s="364">
        <v>66.34899999999999</v>
      </c>
      <c r="FK11" s="364"/>
      <c r="FL11" s="364">
        <v>55.814058333333342</v>
      </c>
      <c r="FM11" s="364">
        <v>69.703883333333337</v>
      </c>
      <c r="FN11" s="364">
        <v>95.703821626984123</v>
      </c>
      <c r="FO11" s="364">
        <v>99.373692120411363</v>
      </c>
      <c r="FP11" s="364">
        <v>93.047684039231811</v>
      </c>
      <c r="FQ11" s="364">
        <v>82.669191895802314</v>
      </c>
      <c r="FR11" s="364">
        <v>40.761989832535889</v>
      </c>
      <c r="FS11" s="364">
        <v>31.998118734335836</v>
      </c>
      <c r="FT11" s="364">
        <v>47.201780901116429</v>
      </c>
      <c r="FU11" s="364">
        <v>61.221632420973386</v>
      </c>
      <c r="FV11" s="364">
        <v>53.608773516465739</v>
      </c>
      <c r="FW11" s="364">
        <v>35.210805042910309</v>
      </c>
      <c r="FX11" s="364">
        <f t="shared" si="0"/>
        <v>60.029948458416975</v>
      </c>
      <c r="FY11" s="410"/>
      <c r="FZ11" s="410"/>
      <c r="GA11" s="410"/>
      <c r="GB11" s="410"/>
      <c r="GC11" s="410"/>
      <c r="GD11" s="410"/>
      <c r="GE11" s="410"/>
      <c r="GF11" s="410"/>
      <c r="GG11" s="410"/>
      <c r="GH11" s="410"/>
      <c r="GI11" s="360"/>
      <c r="GJ11" s="360"/>
      <c r="GK11" s="360"/>
      <c r="GL11" s="360"/>
      <c r="GM11" s="360"/>
      <c r="GN11" s="360"/>
      <c r="GO11" s="360"/>
      <c r="GP11" s="360"/>
      <c r="GQ11" s="360"/>
      <c r="GR11" s="360"/>
    </row>
    <row r="12" spans="1:200" s="3" customFormat="1" x14ac:dyDescent="0.3">
      <c r="A12" s="17">
        <v>13</v>
      </c>
      <c r="B12" s="21" t="s">
        <v>342</v>
      </c>
      <c r="C12" s="364">
        <v>10.136769412093372</v>
      </c>
      <c r="D12" s="364">
        <v>5.8094990603243826</v>
      </c>
      <c r="E12" s="364">
        <v>4.3272703517689894</v>
      </c>
      <c r="F12" s="361">
        <v>0.74486118455923622</v>
      </c>
      <c r="G12" s="364"/>
      <c r="H12" s="364">
        <v>9.2396324850395395</v>
      </c>
      <c r="I12" s="364">
        <v>-3.4301334247151569</v>
      </c>
      <c r="J12" s="361">
        <v>-0.37124132699748591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>
        <v>10.239783856805131</v>
      </c>
      <c r="FH12" s="364">
        <v>11.010196040591174</v>
      </c>
      <c r="FI12" s="364">
        <v>12.322494009424096</v>
      </c>
      <c r="FJ12" s="364">
        <v>11.203816278284359</v>
      </c>
      <c r="FK12" s="364"/>
      <c r="FL12" s="364">
        <v>9.4248663176854652</v>
      </c>
      <c r="FM12" s="364">
        <v>11.770328154902616</v>
      </c>
      <c r="FN12" s="364">
        <v>16.160726380780833</v>
      </c>
      <c r="FO12" s="364">
        <v>16.780427578590231</v>
      </c>
      <c r="FP12" s="364">
        <v>15.712206018107358</v>
      </c>
      <c r="FQ12" s="364">
        <v>13.959674416717711</v>
      </c>
      <c r="FR12" s="364">
        <v>6.8831458683782287</v>
      </c>
      <c r="FS12" s="364">
        <v>5.4032621976250992</v>
      </c>
      <c r="FT12" s="364">
        <v>7.9705810370004073</v>
      </c>
      <c r="FU12" s="364">
        <v>10.337999395638867</v>
      </c>
      <c r="FV12" s="364">
        <v>9.0524777974443964</v>
      </c>
      <c r="FW12" s="364">
        <v>5.9457624185934321</v>
      </c>
      <c r="FX12" s="364">
        <f t="shared" si="0"/>
        <v>10.136769412093372</v>
      </c>
      <c r="FY12" s="410"/>
      <c r="FZ12" s="410"/>
      <c r="GA12" s="410"/>
      <c r="GB12" s="410"/>
      <c r="GC12" s="410"/>
      <c r="GD12" s="410"/>
      <c r="GE12" s="410"/>
      <c r="GF12" s="410"/>
      <c r="GG12" s="410"/>
      <c r="GH12" s="410"/>
      <c r="GI12" s="360"/>
      <c r="GJ12" s="360"/>
      <c r="GK12" s="360"/>
      <c r="GL12" s="360"/>
      <c r="GM12" s="360"/>
      <c r="GN12" s="360"/>
      <c r="GO12" s="360"/>
      <c r="GP12" s="360"/>
      <c r="GQ12" s="360"/>
      <c r="GR12" s="360"/>
    </row>
    <row r="13" spans="1:200" s="3" customFormat="1" x14ac:dyDescent="0.3">
      <c r="A13" s="17">
        <v>10</v>
      </c>
      <c r="B13" s="21" t="s">
        <v>343</v>
      </c>
      <c r="C13" s="364">
        <v>3.4511999287955182</v>
      </c>
      <c r="D13" s="364">
        <v>2.0353421341562075</v>
      </c>
      <c r="E13" s="364">
        <v>1.4158577946393107</v>
      </c>
      <c r="F13" s="361">
        <v>0.69563626226717079</v>
      </c>
      <c r="G13" s="364"/>
      <c r="H13" s="364">
        <v>2.6928761524724498</v>
      </c>
      <c r="I13" s="364">
        <v>-0.65753401831624236</v>
      </c>
      <c r="J13" s="361">
        <v>-0.24417536532919681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>
        <v>3.7820476190476184</v>
      </c>
      <c r="FH13" s="364">
        <v>4.0004999999999997</v>
      </c>
      <c r="FI13" s="364">
        <v>4.988095238095239</v>
      </c>
      <c r="FJ13" s="364">
        <v>5.5770952380952377</v>
      </c>
      <c r="FK13" s="364"/>
      <c r="FL13" s="364">
        <v>4.2030153508771928</v>
      </c>
      <c r="FM13" s="364">
        <v>4.4900916666666673</v>
      </c>
      <c r="FN13" s="364">
        <v>4.1195750000000002</v>
      </c>
      <c r="FO13" s="364">
        <v>2.8061166666666666</v>
      </c>
      <c r="FP13" s="364">
        <v>3.6541704545454547</v>
      </c>
      <c r="FQ13" s="364">
        <v>4.3397833333333322</v>
      </c>
      <c r="FR13" s="364">
        <v>2.7694666666666663</v>
      </c>
      <c r="FS13" s="364">
        <v>2.4141337191793713</v>
      </c>
      <c r="FT13" s="364">
        <v>3.0734075160727912</v>
      </c>
      <c r="FU13" s="364">
        <v>2.9629738988446079</v>
      </c>
      <c r="FV13" s="364">
        <v>2.6900156397664126</v>
      </c>
      <c r="FW13" s="364">
        <v>2.1089344563098567</v>
      </c>
      <c r="FX13" s="364">
        <f t="shared" si="0"/>
        <v>3.4511999287955182</v>
      </c>
      <c r="FY13" s="410"/>
      <c r="FZ13" s="410"/>
      <c r="GA13" s="410"/>
      <c r="GB13" s="410"/>
      <c r="GC13" s="410"/>
      <c r="GD13" s="410"/>
      <c r="GE13" s="410"/>
      <c r="GF13" s="410"/>
      <c r="GG13" s="410"/>
      <c r="GH13" s="410"/>
      <c r="GI13" s="360"/>
      <c r="GJ13" s="360"/>
      <c r="GK13" s="360"/>
      <c r="GL13" s="360"/>
      <c r="GM13" s="360"/>
      <c r="GN13" s="360"/>
      <c r="GO13" s="360"/>
      <c r="GP13" s="360"/>
      <c r="GQ13" s="360"/>
      <c r="GR13" s="360"/>
    </row>
    <row r="14" spans="1:200" s="360" customFormat="1" x14ac:dyDescent="0.3">
      <c r="A14" s="17"/>
      <c r="B14" s="21" t="s">
        <v>344</v>
      </c>
      <c r="C14" s="364">
        <v>9.4688799614048911</v>
      </c>
      <c r="D14" s="364">
        <v>8.1094962391774885</v>
      </c>
      <c r="E14" s="364">
        <v>1.3593837222274026</v>
      </c>
      <c r="F14" s="361">
        <v>0.1676286272456893</v>
      </c>
      <c r="G14" s="364"/>
      <c r="H14" s="364">
        <v>0</v>
      </c>
      <c r="I14" s="364">
        <v>8.1094962391774885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>
        <v>9.8493547619047597</v>
      </c>
      <c r="FH14" s="364">
        <v>10.100574999999999</v>
      </c>
      <c r="FI14" s="364">
        <v>11.23631</v>
      </c>
      <c r="FJ14" s="364">
        <v>11.913659523809523</v>
      </c>
      <c r="FK14" s="364"/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0</v>
      </c>
      <c r="FV14" s="364">
        <v>0</v>
      </c>
      <c r="FW14" s="364">
        <v>8.2588404913419904</v>
      </c>
      <c r="FX14" s="364">
        <f t="shared" si="0"/>
        <v>9.4688799614048911</v>
      </c>
      <c r="FY14" s="410"/>
      <c r="FZ14" s="410"/>
      <c r="GA14" s="410"/>
      <c r="GB14" s="410"/>
      <c r="GC14" s="410"/>
      <c r="GD14" s="410"/>
      <c r="GE14" s="410"/>
      <c r="GF14" s="410"/>
      <c r="GG14" s="410"/>
      <c r="GH14" s="410"/>
    </row>
    <row r="15" spans="1:200" s="3" customFormat="1" x14ac:dyDescent="0.3">
      <c r="A15" s="17">
        <v>11</v>
      </c>
      <c r="B15" s="21" t="s">
        <v>345</v>
      </c>
      <c r="C15" s="364">
        <v>113.89772727272727</v>
      </c>
      <c r="D15" s="364">
        <v>50.660303030303027</v>
      </c>
      <c r="E15" s="364">
        <v>63.23742424242424</v>
      </c>
      <c r="F15" s="361">
        <v>1.2482638369651691</v>
      </c>
      <c r="G15" s="364"/>
      <c r="H15" s="364">
        <v>57.625977961432518</v>
      </c>
      <c r="I15" s="364">
        <v>-6.9656749311294917</v>
      </c>
      <c r="J15" s="361">
        <v>-0.12087734000438875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>
        <v>138.5</v>
      </c>
      <c r="FH15" s="364">
        <v>159.5</v>
      </c>
      <c r="FI15" s="364">
        <v>215.4</v>
      </c>
      <c r="FJ15" s="364">
        <v>172</v>
      </c>
      <c r="FK15" s="364"/>
      <c r="FL15" s="364">
        <v>58.860833333333339</v>
      </c>
      <c r="FM15" s="364">
        <v>77.608333333333334</v>
      </c>
      <c r="FN15" s="364">
        <v>111.045</v>
      </c>
      <c r="FO15" s="364">
        <v>83.667225000000002</v>
      </c>
      <c r="FP15" s="364">
        <v>71.771041666666676</v>
      </c>
      <c r="FQ15" s="364">
        <v>67.119444444444454</v>
      </c>
      <c r="FR15" s="364">
        <v>52.620138888888881</v>
      </c>
      <c r="FS15" s="364">
        <v>57.648333333333333</v>
      </c>
      <c r="FT15" s="364">
        <v>77.837083333333325</v>
      </c>
      <c r="FU15" s="364">
        <v>85.738541666666677</v>
      </c>
      <c r="FV15" s="364">
        <v>57.235271464646473</v>
      </c>
      <c r="FW15" s="364">
        <v>51.530277777777776</v>
      </c>
      <c r="FX15" s="364">
        <f t="shared" si="0"/>
        <v>113.89772727272727</v>
      </c>
      <c r="FY15" s="410"/>
      <c r="FZ15" s="410"/>
      <c r="GA15" s="410"/>
      <c r="GB15" s="410"/>
      <c r="GC15" s="410"/>
      <c r="GD15" s="410"/>
      <c r="GE15" s="410"/>
      <c r="GF15" s="410"/>
      <c r="GG15" s="410"/>
      <c r="GH15" s="410"/>
      <c r="GI15" s="360"/>
      <c r="GJ15" s="360"/>
      <c r="GK15" s="360"/>
      <c r="GL15" s="360"/>
      <c r="GM15" s="360"/>
      <c r="GN15" s="360"/>
      <c r="GO15" s="360"/>
      <c r="GP15" s="360"/>
      <c r="GQ15" s="360"/>
      <c r="GR15" s="360"/>
    </row>
    <row r="16" spans="1:200" s="3" customFormat="1" x14ac:dyDescent="0.3">
      <c r="A16" s="17">
        <v>14</v>
      </c>
      <c r="B16" s="21" t="s">
        <v>346</v>
      </c>
      <c r="C16" s="364">
        <v>4.5815658597235469</v>
      </c>
      <c r="D16" s="364">
        <v>2.0378239352495209</v>
      </c>
      <c r="E16" s="364">
        <v>2.543741924474026</v>
      </c>
      <c r="F16" s="361">
        <v>1.2482638369651684</v>
      </c>
      <c r="G16" s="364"/>
      <c r="H16" s="364">
        <v>2.3180200306288237</v>
      </c>
      <c r="I16" s="364">
        <v>-0.28019609537930279</v>
      </c>
      <c r="J16" s="361">
        <v>-0.12087734000438825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>
        <v>5.5711987127916389</v>
      </c>
      <c r="FH16" s="364">
        <v>6.4159292035398297</v>
      </c>
      <c r="FI16" s="364">
        <v>8.6645213193885855</v>
      </c>
      <c r="FJ16" s="364">
        <v>6.9187449718423242</v>
      </c>
      <c r="FK16" s="364"/>
      <c r="FL16" s="364">
        <v>2.3676924108340063</v>
      </c>
      <c r="FM16" s="364">
        <v>3.1218155001340873</v>
      </c>
      <c r="FN16" s="364">
        <v>4.4668141592920394</v>
      </c>
      <c r="FO16" s="364">
        <v>3.3655360016090143</v>
      </c>
      <c r="FP16" s="364">
        <v>2.8870089165996276</v>
      </c>
      <c r="FQ16" s="364">
        <v>2.6998972021095944</v>
      </c>
      <c r="FR16" s="364">
        <v>2.1166588450880508</v>
      </c>
      <c r="FS16" s="364">
        <v>2.3189192813086641</v>
      </c>
      <c r="FT16" s="364">
        <v>3.1310170286940231</v>
      </c>
      <c r="FU16" s="364">
        <v>3.4488552561008343</v>
      </c>
      <c r="FV16" s="364">
        <v>2.3023037596398437</v>
      </c>
      <c r="FW16" s="364">
        <v>2.0728188969339434</v>
      </c>
      <c r="FX16" s="364">
        <f t="shared" si="0"/>
        <v>4.5815658597235469</v>
      </c>
      <c r="FY16" s="410"/>
      <c r="FZ16" s="410"/>
      <c r="GA16" s="410"/>
      <c r="GB16" s="410"/>
      <c r="GC16" s="410"/>
      <c r="GD16" s="410"/>
      <c r="GE16" s="410"/>
      <c r="GF16" s="410"/>
      <c r="GG16" s="410"/>
      <c r="GH16" s="410"/>
      <c r="GI16" s="360"/>
      <c r="GJ16" s="360"/>
      <c r="GK16" s="360"/>
      <c r="GL16" s="360"/>
      <c r="GM16" s="360"/>
      <c r="GN16" s="360"/>
      <c r="GO16" s="360"/>
      <c r="GP16" s="360"/>
      <c r="GQ16" s="360"/>
      <c r="GR16" s="360"/>
    </row>
    <row r="17" spans="1:200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360"/>
      <c r="FL17" s="426"/>
      <c r="FM17" s="426"/>
      <c r="FN17" s="426"/>
      <c r="FO17" s="426"/>
      <c r="FP17" s="426"/>
      <c r="FQ17" s="426"/>
      <c r="FR17" s="426"/>
      <c r="FS17" s="426"/>
      <c r="FT17" s="426"/>
      <c r="FU17" s="426"/>
      <c r="FV17" s="426"/>
      <c r="FW17" s="337"/>
      <c r="FX17" s="337"/>
      <c r="FY17" s="410"/>
      <c r="FZ17" s="410"/>
      <c r="GA17" s="410"/>
      <c r="GB17" s="410"/>
      <c r="GC17" s="410"/>
      <c r="GD17" s="410"/>
      <c r="GE17" s="410"/>
      <c r="GF17" s="410"/>
      <c r="GG17" s="410"/>
      <c r="GH17" s="410"/>
      <c r="GI17" s="360"/>
      <c r="GJ17" s="360"/>
      <c r="GK17" s="360"/>
      <c r="GL17" s="360"/>
      <c r="GM17" s="360"/>
      <c r="GN17" s="360"/>
      <c r="GO17" s="360"/>
      <c r="GP17" s="360"/>
      <c r="GQ17" s="360"/>
      <c r="GR17" s="360"/>
    </row>
    <row r="18" spans="1:200" s="3" customFormat="1" x14ac:dyDescent="0.3">
      <c r="A18" s="17"/>
      <c r="B18" s="18" t="s">
        <v>347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360"/>
      <c r="FL18" s="426"/>
      <c r="FM18" s="426"/>
      <c r="FN18" s="426"/>
      <c r="FO18" s="426"/>
      <c r="FP18" s="426"/>
      <c r="FQ18" s="426"/>
      <c r="FR18" s="426"/>
      <c r="FS18" s="426"/>
      <c r="FT18" s="426"/>
      <c r="FU18" s="426"/>
      <c r="FV18" s="426"/>
      <c r="FW18" s="337"/>
      <c r="FX18" s="337"/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360"/>
      <c r="GJ18" s="360"/>
      <c r="GK18" s="360"/>
      <c r="GL18" s="360"/>
      <c r="GM18" s="360"/>
      <c r="GN18" s="360"/>
      <c r="GO18" s="360"/>
      <c r="GP18" s="360"/>
      <c r="GQ18" s="360"/>
      <c r="GR18" s="360"/>
    </row>
    <row r="19" spans="1:200" s="3" customFormat="1" x14ac:dyDescent="0.3">
      <c r="A19" s="17"/>
      <c r="B19" s="27" t="s">
        <v>348</v>
      </c>
      <c r="C19" s="362">
        <v>17813.070416387825</v>
      </c>
      <c r="D19" s="362">
        <v>16211.88282657554</v>
      </c>
      <c r="E19" s="362">
        <v>1601.1875898122853</v>
      </c>
      <c r="F19" s="365">
        <v>9.8766294263336135E-2</v>
      </c>
      <c r="G19" s="363"/>
      <c r="H19" s="362">
        <v>15946.877376622169</v>
      </c>
      <c r="I19" s="362">
        <v>265.00544995337077</v>
      </c>
      <c r="J19" s="365">
        <v>1.6618015157115581E-2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>
        <v>1728.9816103594744</v>
      </c>
      <c r="FH19" s="362">
        <v>1764.7736703879998</v>
      </c>
      <c r="FI19" s="362">
        <v>1764.2521842190154</v>
      </c>
      <c r="FJ19" s="362">
        <v>1678.3796095056862</v>
      </c>
      <c r="FK19" s="362"/>
      <c r="FL19" s="28">
        <v>11645.115229999978</v>
      </c>
      <c r="FM19" s="362">
        <v>12271.635776326306</v>
      </c>
      <c r="FN19" s="362">
        <v>12478.309330143067</v>
      </c>
      <c r="FO19" s="362">
        <v>13355.89</v>
      </c>
      <c r="FP19" s="362">
        <v>12107.418061533521</v>
      </c>
      <c r="FQ19" s="362">
        <v>13463.90889654137</v>
      </c>
      <c r="FR19" s="362">
        <v>14177.38456402733</v>
      </c>
      <c r="FS19" s="362">
        <v>14899.449304470585</v>
      </c>
      <c r="FT19" s="362">
        <v>15282.4486053851</v>
      </c>
      <c r="FU19" s="362">
        <v>15701.683343397424</v>
      </c>
      <c r="FV19" s="362">
        <v>17411.497027710706</v>
      </c>
      <c r="FW19" s="362">
        <v>17663.254802331503</v>
      </c>
      <c r="FX19" s="362">
        <f t="shared" si="0"/>
        <v>17813.070416387825</v>
      </c>
      <c r="FY19" s="410"/>
      <c r="FZ19" s="410"/>
      <c r="GA19" s="410"/>
      <c r="GB19" s="410"/>
      <c r="GC19" s="410"/>
      <c r="GD19" s="410"/>
      <c r="GE19" s="410"/>
      <c r="GF19" s="410"/>
      <c r="GG19" s="410"/>
      <c r="GH19" s="410"/>
      <c r="GI19" s="360"/>
      <c r="GJ19" s="360"/>
      <c r="GK19" s="360"/>
      <c r="GL19" s="360"/>
      <c r="GM19" s="360"/>
      <c r="GN19" s="360"/>
      <c r="GO19" s="360"/>
      <c r="GP19" s="360"/>
      <c r="GQ19" s="360"/>
      <c r="GR19" s="360"/>
    </row>
    <row r="20" spans="1:200" s="360" customFormat="1" x14ac:dyDescent="0.3">
      <c r="A20" s="17"/>
      <c r="B20" s="21" t="s">
        <v>349</v>
      </c>
      <c r="C20" s="364">
        <v>5573.4069537998403</v>
      </c>
      <c r="D20" s="364">
        <v>6011.0595959877264</v>
      </c>
      <c r="E20" s="364">
        <v>-437.65264218788616</v>
      </c>
      <c r="F20" s="361">
        <v>-7.2807902699885282E-2</v>
      </c>
      <c r="G20" s="364"/>
      <c r="H20" s="364">
        <v>3147.7599002228994</v>
      </c>
      <c r="I20" s="364">
        <v>2863.299695764827</v>
      </c>
      <c r="J20" s="361">
        <v>0.90963090785992629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>
        <v>588.47983802208012</v>
      </c>
      <c r="FH20" s="364">
        <v>533.35605712400002</v>
      </c>
      <c r="FI20" s="364">
        <v>619.75473532686544</v>
      </c>
      <c r="FJ20" s="364">
        <v>528.15737888698118</v>
      </c>
      <c r="FK20" s="364"/>
      <c r="FL20" s="364">
        <v>1927.3377599999999</v>
      </c>
      <c r="FM20" s="364">
        <v>1854.4807500000002</v>
      </c>
      <c r="FN20" s="364">
        <v>1842.5194887844962</v>
      </c>
      <c r="FO20" s="364">
        <v>1927.8290000000002</v>
      </c>
      <c r="FP20" s="364">
        <v>1190.4852815632287</v>
      </c>
      <c r="FQ20" s="364">
        <v>2201.0679787130002</v>
      </c>
      <c r="FR20" s="364">
        <v>2099.638448956</v>
      </c>
      <c r="FS20" s="364">
        <v>2140.6410599610003</v>
      </c>
      <c r="FT20" s="364">
        <v>2117.6059076780002</v>
      </c>
      <c r="FU20" s="364">
        <v>2034.4329156903966</v>
      </c>
      <c r="FV20" s="364">
        <v>3623.8579671011248</v>
      </c>
      <c r="FW20" s="364">
        <v>6550.6251794257269</v>
      </c>
      <c r="FX20" s="364">
        <f t="shared" si="0"/>
        <v>5573.4069537998403</v>
      </c>
      <c r="FY20" s="410"/>
      <c r="FZ20" s="410"/>
      <c r="GA20" s="410"/>
      <c r="GB20" s="410"/>
      <c r="GC20" s="410"/>
      <c r="GD20" s="410"/>
      <c r="GE20" s="410"/>
      <c r="GF20" s="410"/>
      <c r="GG20" s="410"/>
      <c r="GH20" s="410"/>
    </row>
    <row r="21" spans="1:200" s="360" customFormat="1" x14ac:dyDescent="0.3">
      <c r="A21" s="17"/>
      <c r="B21" s="21" t="s">
        <v>350</v>
      </c>
      <c r="C21" s="364">
        <v>7179.0383776308308</v>
      </c>
      <c r="D21" s="364">
        <v>4676.7395943233114</v>
      </c>
      <c r="E21" s="364">
        <v>2502.2987833075194</v>
      </c>
      <c r="F21" s="361">
        <v>0.53505198073137172</v>
      </c>
      <c r="G21" s="364"/>
      <c r="H21" s="364">
        <v>4703.9526779549997</v>
      </c>
      <c r="I21" s="364">
        <v>-27.213083631688278</v>
      </c>
      <c r="J21" s="361">
        <v>-5.7851525078519532E-3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>
        <v>580.07339771242698</v>
      </c>
      <c r="FH21" s="364">
        <v>705.69527177399982</v>
      </c>
      <c r="FI21" s="364">
        <v>690.57802543510718</v>
      </c>
      <c r="FJ21" s="364">
        <v>710.34747009205137</v>
      </c>
      <c r="FK21" s="364"/>
      <c r="FL21" s="364">
        <v>2229.0868100000002</v>
      </c>
      <c r="FM21" s="364">
        <v>3343.3322999999996</v>
      </c>
      <c r="FN21" s="364">
        <v>3904.0904833470008</v>
      </c>
      <c r="FO21" s="364">
        <v>4627.9209999999994</v>
      </c>
      <c r="FP21" s="364">
        <v>3868.2048271259991</v>
      </c>
      <c r="FQ21" s="364">
        <v>4597.230216269998</v>
      </c>
      <c r="FR21" s="364">
        <v>4377.0975684659988</v>
      </c>
      <c r="FS21" s="364">
        <v>4551.7034171279984</v>
      </c>
      <c r="FT21" s="364">
        <v>5340.190593205999</v>
      </c>
      <c r="FU21" s="364">
        <v>5343.7957711930003</v>
      </c>
      <c r="FV21" s="364">
        <v>5212.7124999829994</v>
      </c>
      <c r="FW21" s="364">
        <v>5299.035080242289</v>
      </c>
      <c r="FX21" s="364">
        <f t="shared" si="0"/>
        <v>7179.0383776308308</v>
      </c>
      <c r="FY21" s="410"/>
      <c r="FZ21" s="410"/>
      <c r="GA21" s="410"/>
      <c r="GB21" s="410"/>
      <c r="GC21" s="410"/>
      <c r="GD21" s="410"/>
      <c r="GE21" s="410"/>
      <c r="GF21" s="410"/>
      <c r="GG21" s="410"/>
      <c r="GH21" s="410"/>
    </row>
    <row r="22" spans="1:200" s="360" customFormat="1" x14ac:dyDescent="0.3">
      <c r="A22" s="17"/>
      <c r="B22" s="21" t="s">
        <v>351</v>
      </c>
      <c r="C22" s="364">
        <v>36.72732546200001</v>
      </c>
      <c r="D22" s="364">
        <v>144.96402915199997</v>
      </c>
      <c r="E22" s="364">
        <v>-108.23670368999996</v>
      </c>
      <c r="F22" s="361">
        <v>-0.74664524932947263</v>
      </c>
      <c r="G22" s="364"/>
      <c r="H22" s="364">
        <v>1105.1427163190003</v>
      </c>
      <c r="I22" s="364">
        <v>-960.17868716700036</v>
      </c>
      <c r="J22" s="361">
        <v>-0.86882777490056229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>
        <v>6.4790696000000025</v>
      </c>
      <c r="FH22" s="364">
        <v>11.834727246000005</v>
      </c>
      <c r="FI22" s="364">
        <v>0</v>
      </c>
      <c r="FJ22" s="364">
        <v>6.6806360160000011</v>
      </c>
      <c r="FK22" s="364"/>
      <c r="FL22" s="364">
        <v>799.78081999999017</v>
      </c>
      <c r="FM22" s="364">
        <v>260.29880000000003</v>
      </c>
      <c r="FN22" s="364">
        <v>839.46213538467202</v>
      </c>
      <c r="FO22" s="364">
        <v>780.06499999999983</v>
      </c>
      <c r="FP22" s="364">
        <v>488.29925876099992</v>
      </c>
      <c r="FQ22" s="364">
        <v>166.8720481120001</v>
      </c>
      <c r="FR22" s="364">
        <v>1138.8539819850002</v>
      </c>
      <c r="FS22" s="364">
        <v>1185.3175139930006</v>
      </c>
      <c r="FT22" s="364">
        <v>519.54984960900003</v>
      </c>
      <c r="FU22" s="364">
        <v>864.73813421800025</v>
      </c>
      <c r="FV22" s="364">
        <v>1121.5445901180003</v>
      </c>
      <c r="FW22" s="364">
        <v>144.96402915199997</v>
      </c>
      <c r="FX22" s="364">
        <f t="shared" si="0"/>
        <v>36.72732546200001</v>
      </c>
      <c r="FY22" s="410"/>
      <c r="FZ22" s="410"/>
      <c r="GA22" s="410"/>
      <c r="GB22" s="410"/>
      <c r="GC22" s="410"/>
      <c r="GD22" s="410"/>
      <c r="GE22" s="410"/>
      <c r="GF22" s="410"/>
      <c r="GG22" s="410"/>
      <c r="GH22" s="410"/>
    </row>
    <row r="23" spans="1:200" s="3" customFormat="1" x14ac:dyDescent="0.3">
      <c r="A23" s="17">
        <v>8</v>
      </c>
      <c r="B23" s="21" t="s">
        <v>352</v>
      </c>
      <c r="C23" s="364">
        <v>1936.8033236575138</v>
      </c>
      <c r="D23" s="364">
        <v>2748.3040050513659</v>
      </c>
      <c r="E23" s="364">
        <v>-811.50068139385212</v>
      </c>
      <c r="F23" s="361">
        <v>-0.29527325940009508</v>
      </c>
      <c r="G23" s="364"/>
      <c r="H23" s="364">
        <v>4942.4405552790904</v>
      </c>
      <c r="I23" s="364">
        <v>-2194.1365502277245</v>
      </c>
      <c r="J23" s="361">
        <v>-0.44393787354389852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>
        <v>210.36260472955897</v>
      </c>
      <c r="FH23" s="364">
        <v>280.60626944099999</v>
      </c>
      <c r="FI23" s="364">
        <v>208.98487815084499</v>
      </c>
      <c r="FJ23" s="364">
        <v>212.97788873344314</v>
      </c>
      <c r="FK23" s="364"/>
      <c r="FL23" s="364">
        <v>4437.5134599999583</v>
      </c>
      <c r="FM23" s="364">
        <v>4582.625256326307</v>
      </c>
      <c r="FN23" s="364">
        <v>3466.2040272134982</v>
      </c>
      <c r="FO23" s="364">
        <v>4154.3599999999997</v>
      </c>
      <c r="FP23" s="364">
        <v>4037.7362217326922</v>
      </c>
      <c r="FQ23" s="364">
        <v>4714.0392288176663</v>
      </c>
      <c r="FR23" s="364">
        <v>5343.6743991090789</v>
      </c>
      <c r="FS23" s="364">
        <v>4960.0538754525496</v>
      </c>
      <c r="FT23" s="364">
        <v>4344.1165494465704</v>
      </c>
      <c r="FU23" s="364">
        <v>4849.9665743108744</v>
      </c>
      <c r="FV23" s="364">
        <v>5217.089923745898</v>
      </c>
      <c r="FW23" s="364">
        <v>2812.1148789444983</v>
      </c>
      <c r="FX23" s="364">
        <f t="shared" si="0"/>
        <v>1936.8033236575138</v>
      </c>
      <c r="FY23" s="410"/>
      <c r="FZ23" s="410"/>
      <c r="GA23" s="410"/>
      <c r="GB23" s="410"/>
      <c r="GC23" s="410"/>
      <c r="GD23" s="410"/>
      <c r="GE23" s="410"/>
      <c r="GF23" s="410"/>
      <c r="GG23" s="410"/>
      <c r="GH23" s="410"/>
      <c r="GI23" s="360"/>
      <c r="GJ23" s="360"/>
      <c r="GK23" s="360"/>
      <c r="GL23" s="360"/>
      <c r="GM23" s="360"/>
      <c r="GN23" s="360"/>
      <c r="GO23" s="360"/>
      <c r="GP23" s="360"/>
      <c r="GQ23" s="360"/>
      <c r="GR23" s="360"/>
    </row>
    <row r="24" spans="1:200" s="3" customFormat="1" x14ac:dyDescent="0.3">
      <c r="A24" s="17">
        <v>2</v>
      </c>
      <c r="B24" s="21" t="s">
        <v>353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56.126183149999996</v>
      </c>
      <c r="I24" s="364">
        <v>-56.126183149999996</v>
      </c>
      <c r="J24" s="361">
        <v>-1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/>
      <c r="FL24" s="364">
        <v>785.45513000000005</v>
      </c>
      <c r="FM24" s="364">
        <v>796.44592</v>
      </c>
      <c r="FN24" s="364">
        <v>907.90285117600024</v>
      </c>
      <c r="FO24" s="364">
        <v>0</v>
      </c>
      <c r="FP24" s="364">
        <v>519.09092500400016</v>
      </c>
      <c r="FQ24" s="364">
        <v>286.75119779700015</v>
      </c>
      <c r="FR24" s="364">
        <v>0</v>
      </c>
      <c r="FS24" s="364">
        <v>221.87184949899992</v>
      </c>
      <c r="FT24" s="364">
        <v>222.93971167200013</v>
      </c>
      <c r="FU24" s="364">
        <v>82.97643539000002</v>
      </c>
      <c r="FV24" s="364">
        <v>56.126183149999996</v>
      </c>
      <c r="FW24" s="364">
        <v>0</v>
      </c>
      <c r="FX24" s="364">
        <f t="shared" si="0"/>
        <v>0</v>
      </c>
      <c r="FY24" s="410"/>
      <c r="FZ24" s="410"/>
      <c r="GA24" s="410"/>
      <c r="GB24" s="410"/>
      <c r="GC24" s="410"/>
      <c r="GD24" s="410"/>
      <c r="GE24" s="410"/>
      <c r="GF24" s="410"/>
      <c r="GG24" s="410"/>
      <c r="GH24" s="410"/>
      <c r="GI24" s="360"/>
      <c r="GJ24" s="360"/>
      <c r="GK24" s="360"/>
      <c r="GL24" s="360"/>
      <c r="GM24" s="360"/>
      <c r="GN24" s="360"/>
      <c r="GO24" s="360"/>
      <c r="GP24" s="360"/>
      <c r="GQ24" s="360"/>
      <c r="GR24" s="360"/>
    </row>
    <row r="25" spans="1:200" s="3" customFormat="1" x14ac:dyDescent="0.3">
      <c r="A25" s="17">
        <v>3</v>
      </c>
      <c r="B25" s="21" t="s">
        <v>354</v>
      </c>
      <c r="C25" s="364">
        <v>1360.9456747748156</v>
      </c>
      <c r="D25" s="364">
        <v>1131.3957153571687</v>
      </c>
      <c r="E25" s="364">
        <v>229.54995941764696</v>
      </c>
      <c r="F25" s="361">
        <v>0.20289095698509046</v>
      </c>
      <c r="G25" s="364"/>
      <c r="H25" s="364">
        <v>951.38075465719214</v>
      </c>
      <c r="I25" s="364">
        <v>180.01496069997654</v>
      </c>
      <c r="J25" s="361">
        <v>0.18921442316209217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>
        <v>157.28518441032995</v>
      </c>
      <c r="FH25" s="364">
        <v>105.40833613000004</v>
      </c>
      <c r="FI25" s="364">
        <v>125.39298748403154</v>
      </c>
      <c r="FJ25" s="364">
        <v>100.80446055000007</v>
      </c>
      <c r="FK25" s="364"/>
      <c r="FL25" s="364">
        <v>1465.9412500000294</v>
      </c>
      <c r="FM25" s="364">
        <v>1434.4527499999999</v>
      </c>
      <c r="FN25" s="364">
        <v>1504.3849255473997</v>
      </c>
      <c r="FO25" s="364">
        <v>1771.5809999999999</v>
      </c>
      <c r="FP25" s="364">
        <v>1765.0152978906001</v>
      </c>
      <c r="FQ25" s="364">
        <v>1259.1708260047035</v>
      </c>
      <c r="FR25" s="364">
        <v>934.43412699825024</v>
      </c>
      <c r="FS25" s="364">
        <v>1503.821028668965</v>
      </c>
      <c r="FT25" s="364">
        <v>2175.8288707466686</v>
      </c>
      <c r="FU25" s="364">
        <v>1761.2969546250902</v>
      </c>
      <c r="FV25" s="364">
        <v>1025.1074614922418</v>
      </c>
      <c r="FW25" s="364">
        <v>1244.6407469531687</v>
      </c>
      <c r="FX25" s="364">
        <f t="shared" si="0"/>
        <v>1360.9456747748156</v>
      </c>
      <c r="FY25" s="410"/>
      <c r="FZ25" s="410"/>
      <c r="GA25" s="410"/>
      <c r="GB25" s="410"/>
      <c r="GC25" s="410"/>
      <c r="GD25" s="410"/>
      <c r="GE25" s="410"/>
      <c r="GF25" s="410"/>
      <c r="GG25" s="410"/>
      <c r="GH25" s="41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</row>
    <row r="26" spans="1:200" s="3" customFormat="1" hidden="1" outlineLevel="1" x14ac:dyDescent="0.3">
      <c r="A26" s="17">
        <v>4</v>
      </c>
      <c r="B26" s="21" t="s">
        <v>355</v>
      </c>
      <c r="C26" s="364">
        <v>1102.2547741724131</v>
      </c>
      <c r="D26" s="364">
        <v>1068.7121458703691</v>
      </c>
      <c r="E26" s="364">
        <v>33.542628302044022</v>
      </c>
      <c r="F26" s="361">
        <v>3.1386027034180093E-2</v>
      </c>
      <c r="G26" s="360"/>
      <c r="H26" s="364">
        <v>709.51263530742028</v>
      </c>
      <c r="I26" s="364">
        <v>359.19951056294883</v>
      </c>
      <c r="J26" s="361">
        <v>0.50626231681880274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>
        <v>112.62104659533138</v>
      </c>
      <c r="FH26" s="364">
        <v>54.247032735999994</v>
      </c>
      <c r="FI26" s="364">
        <v>57.245838514817507</v>
      </c>
      <c r="FJ26" s="364">
        <v>62.417194848446776</v>
      </c>
      <c r="FK26" s="364"/>
      <c r="FL26" s="364">
        <v>0</v>
      </c>
      <c r="FM26" s="364">
        <v>0</v>
      </c>
      <c r="FN26" s="364">
        <v>13.74541868999999</v>
      </c>
      <c r="FO26" s="364">
        <v>94.133999999999986</v>
      </c>
      <c r="FP26" s="364">
        <v>238.58624945599988</v>
      </c>
      <c r="FQ26" s="364">
        <v>238.77740082700009</v>
      </c>
      <c r="FR26" s="364">
        <v>283.68603851299991</v>
      </c>
      <c r="FS26" s="364">
        <v>312.59253522827589</v>
      </c>
      <c r="FT26" s="364">
        <v>377.90497425275703</v>
      </c>
      <c r="FU26" s="364">
        <v>481.20356181588312</v>
      </c>
      <c r="FV26" s="364">
        <v>788.97495888169578</v>
      </c>
      <c r="FW26" s="364">
        <v>1139.1253062832589</v>
      </c>
      <c r="FX26" s="364">
        <f t="shared" si="0"/>
        <v>1102.2547741724131</v>
      </c>
      <c r="FY26" s="410"/>
      <c r="FZ26" s="410"/>
      <c r="GA26" s="410"/>
      <c r="GB26" s="410"/>
      <c r="GC26" s="410"/>
      <c r="GD26" s="410"/>
      <c r="GE26" s="410"/>
      <c r="GF26" s="410"/>
      <c r="GG26" s="410"/>
      <c r="GH26" s="410"/>
      <c r="GI26" s="360"/>
      <c r="GJ26" s="360"/>
      <c r="GK26" s="360"/>
      <c r="GL26" s="360"/>
      <c r="GM26" s="360"/>
      <c r="GN26" s="360"/>
      <c r="GO26" s="360"/>
      <c r="GP26" s="360"/>
      <c r="GQ26" s="360"/>
      <c r="GR26" s="360"/>
    </row>
    <row r="27" spans="1:200" s="3" customFormat="1" hidden="1" outlineLevel="1" x14ac:dyDescent="0.3">
      <c r="A27" s="17">
        <v>5</v>
      </c>
      <c r="B27" s="21" t="s">
        <v>356</v>
      </c>
      <c r="C27" s="364">
        <v>436.27951223405341</v>
      </c>
      <c r="D27" s="364">
        <v>282.15362311771821</v>
      </c>
      <c r="E27" s="364">
        <v>154.1258891163352</v>
      </c>
      <c r="F27" s="361">
        <v>0.546248130409553</v>
      </c>
      <c r="G27" s="360"/>
      <c r="H27" s="364">
        <v>142.43690023456003</v>
      </c>
      <c r="I27" s="364">
        <v>139.71672288315818</v>
      </c>
      <c r="J27" s="361">
        <v>0.98090257969021821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>
        <v>54.125785363476922</v>
      </c>
      <c r="FH27" s="364">
        <v>56.917239805999991</v>
      </c>
      <c r="FI27" s="364">
        <v>48.964298991543863</v>
      </c>
      <c r="FJ27" s="364">
        <v>50.516042012661629</v>
      </c>
      <c r="FK27" s="364"/>
      <c r="FL27" s="364">
        <v>0</v>
      </c>
      <c r="FM27" s="364">
        <v>0</v>
      </c>
      <c r="FN27" s="364">
        <v>0</v>
      </c>
      <c r="FO27" s="364">
        <v>0</v>
      </c>
      <c r="FP27" s="364">
        <v>0</v>
      </c>
      <c r="FQ27" s="364">
        <v>0</v>
      </c>
      <c r="FR27" s="364">
        <v>0</v>
      </c>
      <c r="FS27" s="364">
        <v>23.448024539794993</v>
      </c>
      <c r="FT27" s="364">
        <v>47.265850036009006</v>
      </c>
      <c r="FU27" s="364">
        <v>81.578900443461322</v>
      </c>
      <c r="FV27" s="364">
        <v>159.55821807882603</v>
      </c>
      <c r="FW27" s="364">
        <v>305.08866327785921</v>
      </c>
      <c r="FX27" s="364">
        <f t="shared" si="0"/>
        <v>436.27951223405341</v>
      </c>
      <c r="FY27" s="410"/>
      <c r="FZ27" s="410"/>
      <c r="GA27" s="410"/>
      <c r="GB27" s="410"/>
      <c r="GC27" s="410"/>
      <c r="GD27" s="410"/>
      <c r="GE27" s="410"/>
      <c r="GF27" s="410"/>
      <c r="GG27" s="410"/>
      <c r="GH27" s="410"/>
      <c r="GI27" s="360"/>
      <c r="GJ27" s="360"/>
      <c r="GK27" s="360"/>
      <c r="GL27" s="360"/>
      <c r="GM27" s="360"/>
      <c r="GN27" s="360"/>
      <c r="GO27" s="360"/>
      <c r="GP27" s="360"/>
      <c r="GQ27" s="360"/>
      <c r="GR27" s="360"/>
    </row>
    <row r="28" spans="1:200" s="3" customFormat="1" hidden="1" outlineLevel="1" x14ac:dyDescent="0.3">
      <c r="A28" s="17">
        <v>6</v>
      </c>
      <c r="B28" s="21" t="s">
        <v>357</v>
      </c>
      <c r="C28" s="364">
        <v>187.61447465635598</v>
      </c>
      <c r="D28" s="364">
        <v>148.55411771588194</v>
      </c>
      <c r="E28" s="364">
        <v>39.060356940474037</v>
      </c>
      <c r="F28" s="361">
        <v>0.26293688482724625</v>
      </c>
      <c r="G28" s="360"/>
      <c r="H28" s="364">
        <v>188.12505349700407</v>
      </c>
      <c r="I28" s="364">
        <v>-39.570935781122131</v>
      </c>
      <c r="J28" s="361">
        <v>-0.21034378486835781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>
        <v>19.554683926269998</v>
      </c>
      <c r="FH28" s="364">
        <v>16.708736131000009</v>
      </c>
      <c r="FI28" s="364">
        <v>13.331420315804987</v>
      </c>
      <c r="FJ28" s="364">
        <v>6.4785383661020033</v>
      </c>
      <c r="FK28" s="364"/>
      <c r="FL28" s="364">
        <v>0</v>
      </c>
      <c r="FM28" s="364">
        <v>0</v>
      </c>
      <c r="FN28" s="364">
        <v>0</v>
      </c>
      <c r="FO28" s="364">
        <v>0</v>
      </c>
      <c r="FP28" s="364">
        <v>0</v>
      </c>
      <c r="FQ28" s="364">
        <v>0</v>
      </c>
      <c r="FR28" s="364">
        <v>0</v>
      </c>
      <c r="FS28" s="364">
        <v>0</v>
      </c>
      <c r="FT28" s="364">
        <v>137.04629873809697</v>
      </c>
      <c r="FU28" s="364">
        <v>201.69409571071895</v>
      </c>
      <c r="FV28" s="364">
        <v>206.52522515991808</v>
      </c>
      <c r="FW28" s="364">
        <v>167.66091805270196</v>
      </c>
      <c r="FX28" s="364">
        <f t="shared" si="0"/>
        <v>187.61447465635598</v>
      </c>
      <c r="FY28" s="410"/>
      <c r="FZ28" s="410"/>
      <c r="GA28" s="410"/>
      <c r="GB28" s="410"/>
      <c r="GC28" s="410"/>
      <c r="GD28" s="410"/>
      <c r="GE28" s="410"/>
      <c r="GF28" s="410"/>
      <c r="GG28" s="410"/>
      <c r="GH28" s="410"/>
      <c r="GI28" s="360"/>
      <c r="GJ28" s="360"/>
      <c r="GK28" s="360"/>
      <c r="GL28" s="360"/>
      <c r="GM28" s="360"/>
      <c r="GN28" s="360"/>
      <c r="GO28" s="360"/>
      <c r="GP28" s="360"/>
      <c r="GQ28" s="360"/>
      <c r="GR28" s="360"/>
    </row>
    <row r="29" spans="1:200" s="3" customFormat="1" collapsed="1" x14ac:dyDescent="0.3">
      <c r="A29" s="17">
        <v>7</v>
      </c>
      <c r="B29" s="21" t="s">
        <v>358</v>
      </c>
      <c r="C29" s="364">
        <v>1726.1487610628226</v>
      </c>
      <c r="D29" s="364">
        <v>1499.4198867039693</v>
      </c>
      <c r="E29" s="364">
        <v>226.72887435885332</v>
      </c>
      <c r="F29" s="361">
        <v>0.15121106260451808</v>
      </c>
      <c r="G29" s="364"/>
      <c r="H29" s="364">
        <v>1040.0745890389844</v>
      </c>
      <c r="I29" s="364">
        <v>459.34529766498486</v>
      </c>
      <c r="J29" s="361">
        <v>0.44164649584354715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>
        <v>186.30151588507829</v>
      </c>
      <c r="FH29" s="364">
        <v>127.87300867299999</v>
      </c>
      <c r="FI29" s="364">
        <v>119.54155782216637</v>
      </c>
      <c r="FJ29" s="364">
        <v>119.41177522721041</v>
      </c>
      <c r="FK29" s="364"/>
      <c r="FL29" s="364">
        <v>0</v>
      </c>
      <c r="FM29" s="364">
        <v>0</v>
      </c>
      <c r="FN29" s="364">
        <v>13.74541868999999</v>
      </c>
      <c r="FO29" s="364">
        <v>94.133999999999986</v>
      </c>
      <c r="FP29" s="364">
        <v>238.58624945599988</v>
      </c>
      <c r="FQ29" s="364">
        <v>238.77740082700009</v>
      </c>
      <c r="FR29" s="364">
        <v>283.68603851299991</v>
      </c>
      <c r="FS29" s="364">
        <v>336.04055976807086</v>
      </c>
      <c r="FT29" s="364">
        <v>562.21712302686296</v>
      </c>
      <c r="FU29" s="364">
        <v>764.47655797006337</v>
      </c>
      <c r="FV29" s="364">
        <v>1155.05840212044</v>
      </c>
      <c r="FW29" s="364">
        <v>1611.87488761382</v>
      </c>
      <c r="FX29" s="364">
        <f t="shared" si="0"/>
        <v>1726.1487610628226</v>
      </c>
      <c r="FY29" s="410"/>
      <c r="FZ29" s="410"/>
      <c r="GA29" s="410"/>
      <c r="GB29" s="410"/>
      <c r="GC29" s="410"/>
      <c r="GD29" s="410"/>
      <c r="GE29" s="410"/>
      <c r="GF29" s="410"/>
      <c r="GG29" s="410"/>
      <c r="GH29" s="410"/>
      <c r="GI29" s="360"/>
      <c r="GJ29" s="360"/>
      <c r="GK29" s="360"/>
      <c r="GL29" s="360"/>
      <c r="GM29" s="360"/>
      <c r="GN29" s="360"/>
      <c r="GO29" s="360"/>
      <c r="GP29" s="360"/>
      <c r="GQ29" s="360"/>
      <c r="GR29" s="360"/>
    </row>
    <row r="30" spans="1:200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360"/>
      <c r="FL30" s="426"/>
      <c r="FM30" s="426"/>
      <c r="FN30" s="426"/>
      <c r="FO30" s="426"/>
      <c r="FP30" s="426"/>
      <c r="FQ30" s="426"/>
      <c r="FR30" s="426"/>
      <c r="FS30" s="426"/>
      <c r="FT30" s="426"/>
      <c r="FU30" s="426"/>
      <c r="FV30" s="426"/>
      <c r="FW30" s="337"/>
      <c r="FX30" s="337"/>
      <c r="FY30" s="410"/>
      <c r="FZ30" s="410"/>
      <c r="GA30" s="410"/>
      <c r="GB30" s="410"/>
      <c r="GC30" s="410"/>
      <c r="GD30" s="410"/>
      <c r="GE30" s="410"/>
      <c r="GF30" s="410"/>
      <c r="GG30" s="410"/>
      <c r="GH30" s="410"/>
      <c r="GI30" s="360"/>
      <c r="GJ30" s="360"/>
      <c r="GK30" s="360"/>
      <c r="GL30" s="360"/>
      <c r="GM30" s="360"/>
      <c r="GN30" s="360"/>
      <c r="GO30" s="360"/>
      <c r="GP30" s="360"/>
      <c r="GQ30" s="360"/>
      <c r="GR30" s="360"/>
    </row>
    <row r="31" spans="1:200" s="3" customFormat="1" x14ac:dyDescent="0.3">
      <c r="A31" s="17"/>
      <c r="B31" s="18" t="s">
        <v>359</v>
      </c>
      <c r="C31" s="385"/>
      <c r="D31" s="444"/>
      <c r="E31" s="31" t="s">
        <v>360</v>
      </c>
      <c r="F31" s="342"/>
      <c r="G31" s="364"/>
      <c r="H31" s="361"/>
      <c r="I31" s="31" t="s">
        <v>360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360"/>
      <c r="FL31" s="426"/>
      <c r="FM31" s="426"/>
      <c r="FN31" s="426"/>
      <c r="FO31" s="426"/>
      <c r="FP31" s="426"/>
      <c r="FQ31" s="426"/>
      <c r="FR31" s="426"/>
      <c r="FS31" s="426"/>
      <c r="FT31" s="426"/>
      <c r="FU31" s="426"/>
      <c r="FV31" s="426"/>
      <c r="FW31" s="337"/>
      <c r="FX31" s="337"/>
      <c r="FY31" s="410"/>
      <c r="FZ31" s="410"/>
      <c r="GA31" s="410"/>
      <c r="GB31" s="410"/>
      <c r="GC31" s="410"/>
      <c r="GD31" s="410"/>
      <c r="GE31" s="410"/>
      <c r="GF31" s="410"/>
      <c r="GG31" s="410"/>
      <c r="GH31" s="410"/>
      <c r="GI31" s="360"/>
      <c r="GJ31" s="360"/>
      <c r="GK31" s="360"/>
      <c r="GL31" s="360"/>
      <c r="GM31" s="360"/>
      <c r="GN31" s="360"/>
      <c r="GO31" s="360"/>
      <c r="GP31" s="360"/>
      <c r="GQ31" s="360"/>
      <c r="GR31" s="360"/>
    </row>
    <row r="32" spans="1:200" s="360" customFormat="1" x14ac:dyDescent="0.3">
      <c r="A32" s="17"/>
      <c r="B32" s="21" t="s">
        <v>349</v>
      </c>
      <c r="C32" s="361">
        <v>0.31288300239763089</v>
      </c>
      <c r="D32" s="361">
        <v>0.37078109065370363</v>
      </c>
      <c r="E32" s="364">
        <v>-5.7898088256072731</v>
      </c>
      <c r="F32" s="361">
        <v>0</v>
      </c>
      <c r="G32" s="361"/>
      <c r="H32" s="361">
        <v>0.19739036213054839</v>
      </c>
      <c r="I32" s="364">
        <v>17.339072852315525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>
        <v>0.34036211518740711</v>
      </c>
      <c r="FH32" s="361">
        <v>0.30222348965957624</v>
      </c>
      <c r="FI32" s="361">
        <v>0.35128466376319856</v>
      </c>
      <c r="FJ32" s="361">
        <v>0.31468290957284289</v>
      </c>
      <c r="FK32" s="361"/>
      <c r="FL32" s="361">
        <v>0.16550611324436018</v>
      </c>
      <c r="FM32" s="361">
        <v>0.15111927894548108</v>
      </c>
      <c r="FN32" s="361">
        <v>0.14765778280024183</v>
      </c>
      <c r="FO32" s="361">
        <v>0.14434298275891763</v>
      </c>
      <c r="FP32" s="361">
        <v>9.8326932754186427E-2</v>
      </c>
      <c r="FQ32" s="361">
        <v>0.16347912004057114</v>
      </c>
      <c r="FR32" s="361">
        <v>0.14809772842612104</v>
      </c>
      <c r="FS32" s="361">
        <v>0.14367249528603049</v>
      </c>
      <c r="FT32" s="361">
        <v>0.13856456922301158</v>
      </c>
      <c r="FU32" s="361">
        <v>0.1295678222007883</v>
      </c>
      <c r="FV32" s="361">
        <v>0.20813017751050875</v>
      </c>
      <c r="FW32" s="361">
        <v>0.37086172694293362</v>
      </c>
      <c r="FX32" s="361">
        <f t="shared" si="0"/>
        <v>0.31288300239763089</v>
      </c>
      <c r="FY32" s="410"/>
      <c r="FZ32" s="410"/>
      <c r="GA32" s="410"/>
      <c r="GB32" s="410"/>
      <c r="GC32" s="410"/>
      <c r="GD32" s="410"/>
      <c r="GE32" s="410"/>
      <c r="GF32" s="410"/>
      <c r="GG32" s="410"/>
      <c r="GH32" s="410"/>
    </row>
    <row r="33" spans="1:200" s="360" customFormat="1" x14ac:dyDescent="0.3">
      <c r="A33" s="17"/>
      <c r="B33" s="21" t="s">
        <v>350</v>
      </c>
      <c r="C33" s="361">
        <v>0.40302082739347372</v>
      </c>
      <c r="D33" s="361">
        <v>0.2884760298573652</v>
      </c>
      <c r="E33" s="364">
        <v>11.454479753610853</v>
      </c>
      <c r="F33" s="361">
        <v>0</v>
      </c>
      <c r="G33" s="361"/>
      <c r="H33" s="361">
        <v>0.29497641242610345</v>
      </c>
      <c r="I33" s="364">
        <v>-0.65003825687382499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>
        <v>0.33550003900378289</v>
      </c>
      <c r="FH33" s="361">
        <v>0.39987862671299201</v>
      </c>
      <c r="FI33" s="361">
        <v>0.39142818221353459</v>
      </c>
      <c r="FJ33" s="361">
        <v>0.42323409201882634</v>
      </c>
      <c r="FK33" s="361"/>
      <c r="FL33" s="361">
        <v>0.19141818401740318</v>
      </c>
      <c r="FM33" s="361">
        <v>0.27244389916214373</v>
      </c>
      <c r="FN33" s="361">
        <v>0.31287014771433297</v>
      </c>
      <c r="FO33" s="361">
        <v>0.34650787031040237</v>
      </c>
      <c r="FP33" s="361">
        <v>0.31949048157638771</v>
      </c>
      <c r="FQ33" s="361">
        <v>0.34144840488715289</v>
      </c>
      <c r="FR33" s="361">
        <v>0.30873801501950715</v>
      </c>
      <c r="FS33" s="361">
        <v>0.30549474172594138</v>
      </c>
      <c r="FT33" s="361">
        <v>0.34943291687722527</v>
      </c>
      <c r="FU33" s="361">
        <v>0.34033266716208949</v>
      </c>
      <c r="FV33" s="361">
        <v>0.29938336098767815</v>
      </c>
      <c r="FW33" s="361">
        <v>0.30000331986055201</v>
      </c>
      <c r="FX33" s="361">
        <f t="shared" si="0"/>
        <v>0.40302082739347372</v>
      </c>
      <c r="FY33" s="410"/>
      <c r="FZ33" s="410"/>
      <c r="GA33" s="410"/>
      <c r="GB33" s="410"/>
      <c r="GC33" s="410"/>
      <c r="GD33" s="410"/>
      <c r="GE33" s="410"/>
      <c r="GF33" s="410"/>
      <c r="GG33" s="410"/>
      <c r="GH33" s="410"/>
    </row>
    <row r="34" spans="1:200" s="360" customFormat="1" x14ac:dyDescent="0.3">
      <c r="A34" s="17"/>
      <c r="B34" s="21" t="s">
        <v>351</v>
      </c>
      <c r="C34" s="361">
        <v>2.0618189118149603E-3</v>
      </c>
      <c r="D34" s="361">
        <v>8.941837953230565E-3</v>
      </c>
      <c r="E34" s="364">
        <v>-0.68800190414156048</v>
      </c>
      <c r="F34" s="361">
        <v>0</v>
      </c>
      <c r="G34" s="361"/>
      <c r="H34" s="361">
        <v>6.9301512153038772E-2</v>
      </c>
      <c r="I34" s="364">
        <v>-6.0359674199808211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>
        <v>3.7473328583598597E-3</v>
      </c>
      <c r="FH34" s="361">
        <v>6.706087836973477E-3</v>
      </c>
      <c r="FI34" s="361">
        <v>0</v>
      </c>
      <c r="FJ34" s="361">
        <v>3.9804082331336066E-3</v>
      </c>
      <c r="FK34" s="361"/>
      <c r="FL34" s="361">
        <v>6.8679511039925686E-2</v>
      </c>
      <c r="FM34" s="361">
        <v>2.1211418326328807E-2</v>
      </c>
      <c r="FN34" s="361">
        <v>6.7273707773603281E-2</v>
      </c>
      <c r="FO34" s="361">
        <v>5.8406066536936127E-2</v>
      </c>
      <c r="FP34" s="361">
        <v>4.0330585454249369E-2</v>
      </c>
      <c r="FQ34" s="361">
        <v>1.2394026830860869E-2</v>
      </c>
      <c r="FR34" s="361">
        <v>8.0328919402711696E-2</v>
      </c>
      <c r="FS34" s="361">
        <v>7.9554451293535097E-2</v>
      </c>
      <c r="FT34" s="361">
        <v>3.3996505600936582E-2</v>
      </c>
      <c r="FU34" s="361">
        <v>5.5072957166826551E-2</v>
      </c>
      <c r="FV34" s="361">
        <v>6.4414024155019081E-2</v>
      </c>
      <c r="FW34" s="361">
        <v>8.2070960745504896E-3</v>
      </c>
      <c r="FX34" s="361">
        <f t="shared" si="0"/>
        <v>2.0618189118149603E-3</v>
      </c>
      <c r="FY34" s="410"/>
      <c r="FZ34" s="410"/>
      <c r="GA34" s="410"/>
      <c r="GB34" s="410"/>
      <c r="GC34" s="410"/>
      <c r="GD34" s="410"/>
      <c r="GE34" s="410"/>
      <c r="GF34" s="410"/>
      <c r="GG34" s="410"/>
      <c r="GH34" s="410"/>
    </row>
    <row r="35" spans="1:200" s="360" customFormat="1" x14ac:dyDescent="0.3">
      <c r="A35" s="17"/>
      <c r="B35" s="21" t="s">
        <v>352</v>
      </c>
      <c r="C35" s="361">
        <v>0.10872933628981091</v>
      </c>
      <c r="D35" s="361">
        <v>0.1695240481596729</v>
      </c>
      <c r="E35" s="364">
        <v>-6.0794711869861988</v>
      </c>
      <c r="F35" s="361">
        <v>0</v>
      </c>
      <c r="G35" s="361"/>
      <c r="H35" s="361">
        <v>0.30993155829520691</v>
      </c>
      <c r="I35" s="364">
        <v>-14.040751013553402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>
        <v>0.12166850327911946</v>
      </c>
      <c r="FH35" s="361">
        <v>0.15900411149000565</v>
      </c>
      <c r="FI35" s="361">
        <v>0.11845521860207116</v>
      </c>
      <c r="FJ35" s="361">
        <v>0.12689494529558129</v>
      </c>
      <c r="FK35" s="361"/>
      <c r="FL35" s="361">
        <v>0.38106221985404665</v>
      </c>
      <c r="FM35" s="361">
        <v>0.37343230681331246</v>
      </c>
      <c r="FN35" s="361">
        <v>0.27777833803497781</v>
      </c>
      <c r="FO35" s="361">
        <v>0.31105077984320023</v>
      </c>
      <c r="FP35" s="361">
        <v>0.33349275635909398</v>
      </c>
      <c r="FQ35" s="361">
        <v>0.35012411811763045</v>
      </c>
      <c r="FR35" s="361">
        <v>0.37691538767084948</v>
      </c>
      <c r="FS35" s="361">
        <v>0.3329018257046778</v>
      </c>
      <c r="FT35" s="361">
        <v>0.28425526966377807</v>
      </c>
      <c r="FU35" s="361">
        <v>0.30888195031332683</v>
      </c>
      <c r="FV35" s="361">
        <v>0.29963477094719698</v>
      </c>
      <c r="FW35" s="361">
        <v>0.15920706067000215</v>
      </c>
      <c r="FX35" s="361">
        <f t="shared" si="0"/>
        <v>0.10872933628981091</v>
      </c>
      <c r="FY35" s="410"/>
      <c r="FZ35" s="410"/>
      <c r="GA35" s="410"/>
      <c r="GB35" s="410"/>
      <c r="GC35" s="410"/>
      <c r="GD35" s="410"/>
      <c r="GE35" s="410"/>
      <c r="GF35" s="410"/>
      <c r="GG35" s="410"/>
      <c r="GH35" s="410"/>
    </row>
    <row r="36" spans="1:200" s="3" customFormat="1" x14ac:dyDescent="0.3">
      <c r="A36" s="17"/>
      <c r="B36" s="21" t="s">
        <v>353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3.5195720029979004E-3</v>
      </c>
      <c r="I36" s="364">
        <v>-0.35195720029979005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>
        <v>0</v>
      </c>
      <c r="FH36" s="361">
        <v>0</v>
      </c>
      <c r="FI36" s="361">
        <v>0</v>
      </c>
      <c r="FJ36" s="361">
        <v>0</v>
      </c>
      <c r="FK36" s="361"/>
      <c r="FL36" s="361">
        <v>6.7449322268320872E-2</v>
      </c>
      <c r="FM36" s="361">
        <v>6.4901365597604774E-2</v>
      </c>
      <c r="FN36" s="361">
        <v>7.2758482511956685E-2</v>
      </c>
      <c r="FO36" s="361">
        <v>0</v>
      </c>
      <c r="FP36" s="361">
        <v>4.2873792113712832E-2</v>
      </c>
      <c r="FQ36" s="361">
        <v>2.1297767238358339E-2</v>
      </c>
      <c r="FR36" s="361">
        <v>0</v>
      </c>
      <c r="FS36" s="361">
        <v>1.4891278527484045E-2</v>
      </c>
      <c r="FT36" s="361">
        <v>1.4587957560246107E-2</v>
      </c>
      <c r="FU36" s="361">
        <v>5.2845566666513948E-3</v>
      </c>
      <c r="FV36" s="361">
        <v>3.2235127778314629E-3</v>
      </c>
      <c r="FW36" s="361">
        <v>0</v>
      </c>
      <c r="FX36" s="361">
        <f t="shared" si="0"/>
        <v>0</v>
      </c>
      <c r="FY36" s="410"/>
      <c r="FZ36" s="410"/>
      <c r="GA36" s="410"/>
      <c r="GB36" s="410"/>
      <c r="GC36" s="410"/>
      <c r="GD36" s="410"/>
      <c r="GE36" s="410"/>
      <c r="GF36" s="410"/>
      <c r="GG36" s="410"/>
      <c r="GH36" s="41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</row>
    <row r="37" spans="1:200" s="3" customFormat="1" x14ac:dyDescent="0.3">
      <c r="A37" s="17"/>
      <c r="B37" s="21" t="s">
        <v>354</v>
      </c>
      <c r="C37" s="361">
        <v>7.6401521072007941E-2</v>
      </c>
      <c r="D37" s="361">
        <v>6.9788051607584625E-2</v>
      </c>
      <c r="E37" s="364">
        <v>0.66134694644233161</v>
      </c>
      <c r="F37" s="361">
        <v>0</v>
      </c>
      <c r="G37" s="361"/>
      <c r="H37" s="361">
        <v>5.9659376076466167E-2</v>
      </c>
      <c r="I37" s="364">
        <v>1.0128675531118458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>
        <v>9.0969842286308999E-2</v>
      </c>
      <c r="FH37" s="361">
        <v>5.9729096086766277E-2</v>
      </c>
      <c r="FI37" s="361">
        <v>7.1074299131186555E-2</v>
      </c>
      <c r="FJ37" s="361">
        <v>6.0060584613327646E-2</v>
      </c>
      <c r="FK37" s="361"/>
      <c r="FL37" s="361">
        <v>0.12588464957594345</v>
      </c>
      <c r="FM37" s="361">
        <v>0.11689173115512921</v>
      </c>
      <c r="FN37" s="361">
        <v>0.12055999620985125</v>
      </c>
      <c r="FO37" s="361">
        <v>0.13264417421826624</v>
      </c>
      <c r="FP37" s="361">
        <v>0.14577966077658047</v>
      </c>
      <c r="FQ37" s="361">
        <v>9.3521935990532531E-2</v>
      </c>
      <c r="FR37" s="361">
        <v>6.5910191176531657E-2</v>
      </c>
      <c r="FS37" s="361">
        <v>0.1009313161807761</v>
      </c>
      <c r="FT37" s="361">
        <v>0.14237436204954543</v>
      </c>
      <c r="FU37" s="361">
        <v>0.11217249234399555</v>
      </c>
      <c r="FV37" s="361">
        <v>5.8875320132482874E-2</v>
      </c>
      <c r="FW37" s="361">
        <v>7.0464971540176127E-2</v>
      </c>
      <c r="FX37" s="361">
        <f t="shared" si="0"/>
        <v>7.6401521072007941E-2</v>
      </c>
      <c r="FY37" s="410"/>
      <c r="FZ37" s="410"/>
      <c r="GA37" s="410"/>
      <c r="GB37" s="410"/>
      <c r="GC37" s="410"/>
      <c r="GD37" s="410"/>
      <c r="GE37" s="410"/>
      <c r="GF37" s="410"/>
      <c r="GG37" s="410"/>
      <c r="GH37" s="41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</row>
    <row r="38" spans="1:200" s="3" customFormat="1" x14ac:dyDescent="0.3">
      <c r="A38" s="17"/>
      <c r="B38" s="21" t="s">
        <v>355</v>
      </c>
      <c r="C38" s="361">
        <v>6.1878988203984818E-2</v>
      </c>
      <c r="D38" s="361">
        <v>6.5921531589068036E-2</v>
      </c>
      <c r="E38" s="364">
        <v>-0.40425433850832182</v>
      </c>
      <c r="F38" s="358">
        <v>0</v>
      </c>
      <c r="G38" s="360"/>
      <c r="H38" s="361">
        <v>4.4492261309261261E-2</v>
      </c>
      <c r="I38" s="364">
        <v>2.1429270279806776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>
        <v>6.5137214832444751E-2</v>
      </c>
      <c r="FH38" s="361">
        <v>3.0738804440613252E-2</v>
      </c>
      <c r="FI38" s="361">
        <v>3.2447650640239183E-2</v>
      </c>
      <c r="FJ38" s="361">
        <v>3.7188961600188766E-2</v>
      </c>
      <c r="FK38" s="361"/>
      <c r="FL38" s="361">
        <v>0</v>
      </c>
      <c r="FM38" s="361">
        <v>0</v>
      </c>
      <c r="FN38" s="361">
        <v>1.10154495503618E-3</v>
      </c>
      <c r="FO38" s="361">
        <v>7.0481263322773689E-3</v>
      </c>
      <c r="FP38" s="361">
        <v>1.9705790965789168E-2</v>
      </c>
      <c r="FQ38" s="361">
        <v>1.7734626894893621E-2</v>
      </c>
      <c r="FR38" s="361">
        <v>2.0009758304278799E-2</v>
      </c>
      <c r="FS38" s="361">
        <v>2.0980140194475669E-2</v>
      </c>
      <c r="FT38" s="361">
        <v>2.4728038288288047E-2</v>
      </c>
      <c r="FU38" s="361">
        <v>3.0646622485749578E-2</v>
      </c>
      <c r="FV38" s="361">
        <v>4.5313447638995551E-2</v>
      </c>
      <c r="FW38" s="361">
        <v>6.449124575459883E-2</v>
      </c>
      <c r="FX38" s="361">
        <f t="shared" si="0"/>
        <v>6.1878988203984818E-2</v>
      </c>
      <c r="FY38" s="410"/>
      <c r="FZ38" s="410"/>
      <c r="GA38" s="410"/>
      <c r="GB38" s="410"/>
      <c r="GC38" s="410"/>
      <c r="GD38" s="410"/>
      <c r="GE38" s="410"/>
      <c r="GF38" s="410"/>
      <c r="GG38" s="410"/>
      <c r="GH38" s="41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</row>
    <row r="39" spans="1:200" s="3" customFormat="1" x14ac:dyDescent="0.3">
      <c r="A39" s="17"/>
      <c r="B39" s="21" t="s">
        <v>356</v>
      </c>
      <c r="C39" s="361">
        <v>2.4492100577600658E-2</v>
      </c>
      <c r="D39" s="361">
        <v>1.7404124254783916E-2</v>
      </c>
      <c r="E39" s="364">
        <v>0.70879763228167414</v>
      </c>
      <c r="F39" s="358">
        <v>0</v>
      </c>
      <c r="G39" s="360"/>
      <c r="H39" s="361">
        <v>8.9319618424714246E-3</v>
      </c>
      <c r="I39" s="364">
        <v>0.84721624123124917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>
        <v>3.1305009283599944E-2</v>
      </c>
      <c r="FH39" s="361">
        <v>3.2251863658803497E-2</v>
      </c>
      <c r="FI39" s="361">
        <v>2.7753571416559687E-2</v>
      </c>
      <c r="FJ39" s="361">
        <v>3.0098102793050217E-2</v>
      </c>
      <c r="FK39" s="361"/>
      <c r="FL39" s="361">
        <v>0</v>
      </c>
      <c r="FM39" s="361">
        <v>0</v>
      </c>
      <c r="FN39" s="361">
        <v>0</v>
      </c>
      <c r="FO39" s="361">
        <v>0</v>
      </c>
      <c r="FP39" s="361">
        <v>0</v>
      </c>
      <c r="FQ39" s="361">
        <v>0</v>
      </c>
      <c r="FR39" s="361">
        <v>0</v>
      </c>
      <c r="FS39" s="361">
        <v>1.5737510870793999E-3</v>
      </c>
      <c r="FT39" s="361">
        <v>3.0928191716184713E-3</v>
      </c>
      <c r="FU39" s="361">
        <v>5.1955512450049084E-3</v>
      </c>
      <c r="FV39" s="361">
        <v>9.1639574601130678E-3</v>
      </c>
      <c r="FW39" s="361">
        <v>1.7272505361672543E-2</v>
      </c>
      <c r="FX39" s="361">
        <f t="shared" si="0"/>
        <v>2.4492100577600658E-2</v>
      </c>
      <c r="FY39" s="410"/>
      <c r="FZ39" s="410"/>
      <c r="GA39" s="410"/>
      <c r="GB39" s="410"/>
      <c r="GC39" s="410"/>
      <c r="GD39" s="410"/>
      <c r="GE39" s="410"/>
      <c r="GF39" s="410"/>
      <c r="GG39" s="410"/>
      <c r="GH39" s="41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</row>
    <row r="40" spans="1:200" s="3" customFormat="1" x14ac:dyDescent="0.3">
      <c r="A40" s="17"/>
      <c r="B40" s="21" t="s">
        <v>357</v>
      </c>
      <c r="C40" s="361">
        <v>1.0532405153675964E-2</v>
      </c>
      <c r="D40" s="361">
        <v>9.1632859245912301E-3</v>
      </c>
      <c r="E40" s="364">
        <v>0.1369119229084734</v>
      </c>
      <c r="F40" s="364">
        <v>0</v>
      </c>
      <c r="G40" s="364"/>
      <c r="H40" s="361">
        <v>1.1796983763905526E-2</v>
      </c>
      <c r="I40" s="364">
        <v>-0.26336978393142962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>
        <v>1.1309943268976911E-2</v>
      </c>
      <c r="FH40" s="361">
        <v>9.4679201142696436E-3</v>
      </c>
      <c r="FI40" s="361">
        <v>7.5564142332103339E-3</v>
      </c>
      <c r="FJ40" s="361">
        <v>3.8599958730492754E-3</v>
      </c>
      <c r="FK40" s="361"/>
      <c r="FL40" s="361">
        <v>0</v>
      </c>
      <c r="FM40" s="361">
        <v>0</v>
      </c>
      <c r="FN40" s="361">
        <v>0</v>
      </c>
      <c r="FO40" s="361">
        <v>0</v>
      </c>
      <c r="FP40" s="361">
        <v>0</v>
      </c>
      <c r="FQ40" s="361">
        <v>0</v>
      </c>
      <c r="FR40" s="361">
        <v>0</v>
      </c>
      <c r="FS40" s="361">
        <v>0</v>
      </c>
      <c r="FT40" s="361">
        <v>8.9675615653505777E-3</v>
      </c>
      <c r="FU40" s="361">
        <v>1.2845380415567452E-2</v>
      </c>
      <c r="FV40" s="361">
        <v>1.1861428390174006E-2</v>
      </c>
      <c r="FW40" s="361">
        <v>9.4920737955142432E-3</v>
      </c>
      <c r="FX40" s="361">
        <f t="shared" si="0"/>
        <v>1.0532405153675964E-2</v>
      </c>
      <c r="FY40" s="410"/>
      <c r="FZ40" s="410"/>
      <c r="GA40" s="410"/>
      <c r="GB40" s="410"/>
      <c r="GC40" s="410"/>
      <c r="GD40" s="410"/>
      <c r="GE40" s="410"/>
      <c r="GF40" s="410"/>
      <c r="GG40" s="410"/>
      <c r="GH40" s="41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</row>
    <row r="41" spans="1:200" s="3" customFormat="1" x14ac:dyDescent="0.3">
      <c r="A41" s="17"/>
      <c r="B41" s="21" t="s">
        <v>358</v>
      </c>
      <c r="C41" s="361">
        <v>9.6903493935261445E-2</v>
      </c>
      <c r="D41" s="361">
        <v>9.2488941768443189E-2</v>
      </c>
      <c r="E41" s="364">
        <v>0.44145521668182558</v>
      </c>
      <c r="F41" s="361">
        <v>0</v>
      </c>
      <c r="G41" s="361"/>
      <c r="H41" s="361">
        <v>6.5221206915638208E-2</v>
      </c>
      <c r="I41" s="364">
        <v>2.7267734852804981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>
        <v>0.10775216738502161</v>
      </c>
      <c r="FH41" s="361">
        <v>7.2458588213686392E-2</v>
      </c>
      <c r="FI41" s="361">
        <v>6.7757636290009207E-2</v>
      </c>
      <c r="FJ41" s="361">
        <v>7.1147060266288267E-2</v>
      </c>
      <c r="FK41" s="361"/>
      <c r="FL41" s="361">
        <v>0</v>
      </c>
      <c r="FM41" s="361">
        <v>0</v>
      </c>
      <c r="FN41" s="361">
        <v>1.10154495503618E-3</v>
      </c>
      <c r="FO41" s="361">
        <v>7.0481263322773689E-3</v>
      </c>
      <c r="FP41" s="361">
        <v>1.9705790965789168E-2</v>
      </c>
      <c r="FQ41" s="361">
        <v>1.7734626894893621E-2</v>
      </c>
      <c r="FR41" s="361">
        <v>2.0009758304278799E-2</v>
      </c>
      <c r="FS41" s="361">
        <v>2.255389128155507E-2</v>
      </c>
      <c r="FT41" s="361">
        <v>3.6788419025257098E-2</v>
      </c>
      <c r="FU41" s="361">
        <v>4.8687554146321935E-2</v>
      </c>
      <c r="FV41" s="361">
        <v>6.6338833489282628E-2</v>
      </c>
      <c r="FW41" s="361">
        <v>9.1255824911785605E-2</v>
      </c>
      <c r="FX41" s="361">
        <f t="shared" si="0"/>
        <v>9.6903493935261445E-2</v>
      </c>
      <c r="FY41" s="410"/>
      <c r="FZ41" s="410"/>
      <c r="GA41" s="410"/>
      <c r="GB41" s="410"/>
      <c r="GC41" s="410"/>
      <c r="GD41" s="410"/>
      <c r="GE41" s="410"/>
      <c r="GF41" s="410"/>
      <c r="GG41" s="410"/>
      <c r="GH41" s="41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</row>
    <row r="42" spans="1:200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361"/>
      <c r="FL42" s="23"/>
      <c r="FM42" s="23"/>
      <c r="FN42" s="23"/>
      <c r="FO42" s="23"/>
      <c r="FP42" s="23"/>
      <c r="FQ42" s="23"/>
      <c r="FR42" s="23"/>
      <c r="FS42" s="276"/>
      <c r="FT42" s="361"/>
      <c r="FU42" s="361"/>
      <c r="FV42" s="361"/>
      <c r="FW42" s="361"/>
      <c r="FX42" s="361"/>
      <c r="FY42" s="410"/>
      <c r="FZ42" s="410"/>
      <c r="GA42" s="410"/>
      <c r="GB42" s="410"/>
      <c r="GC42" s="410"/>
      <c r="GD42" s="410"/>
      <c r="GE42" s="410"/>
      <c r="GF42" s="410"/>
      <c r="GG42" s="410"/>
      <c r="GH42" s="41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</row>
    <row r="43" spans="1:200" s="3" customFormat="1" x14ac:dyDescent="0.3">
      <c r="A43" s="17"/>
      <c r="B43" s="18" t="s">
        <v>361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427"/>
      <c r="FM43" s="427"/>
      <c r="FN43" s="427"/>
      <c r="FO43" s="427"/>
      <c r="FP43" s="427"/>
      <c r="FQ43" s="427"/>
      <c r="FR43" s="427"/>
      <c r="FS43" s="426"/>
      <c r="FT43" s="426"/>
      <c r="FU43" s="426"/>
      <c r="FV43" s="426"/>
      <c r="FW43" s="427"/>
      <c r="FX43" s="427"/>
      <c r="FY43" s="410"/>
      <c r="FZ43" s="410"/>
      <c r="GA43" s="410"/>
      <c r="GB43" s="410"/>
      <c r="GC43" s="410"/>
      <c r="GD43" s="410"/>
      <c r="GE43" s="410"/>
      <c r="GF43" s="410"/>
      <c r="GG43" s="410"/>
      <c r="GH43" s="41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</row>
    <row r="44" spans="1:200" s="3" customFormat="1" x14ac:dyDescent="0.3">
      <c r="A44" s="17">
        <v>15</v>
      </c>
      <c r="B44" s="21" t="s">
        <v>362</v>
      </c>
      <c r="C44" s="364">
        <v>9.0633404749788316</v>
      </c>
      <c r="D44" s="364">
        <v>7.0346238656562869</v>
      </c>
      <c r="E44" s="364">
        <v>2.0287166093225446</v>
      </c>
      <c r="F44" s="361">
        <v>0.2883902036648946</v>
      </c>
      <c r="G44" s="364"/>
      <c r="H44" s="364">
        <v>12.509377151164761</v>
      </c>
      <c r="I44" s="364">
        <v>-5.4747532855084744</v>
      </c>
      <c r="J44" s="361">
        <v>-0.43765194856234024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>
        <v>9.0990604838710034</v>
      </c>
      <c r="FH44" s="364">
        <v>12.693999999999999</v>
      </c>
      <c r="FI44" s="364">
        <v>11.546461021505378</v>
      </c>
      <c r="FJ44" s="364">
        <v>11.473000000000001</v>
      </c>
      <c r="FK44" s="364"/>
      <c r="FL44" s="22">
        <v>11.587911846179857</v>
      </c>
      <c r="FM44" s="364">
        <v>13.715875740815946</v>
      </c>
      <c r="FN44" s="364">
        <v>18.607490671494389</v>
      </c>
      <c r="FO44" s="364">
        <v>19.486245658071308</v>
      </c>
      <c r="FP44" s="364">
        <v>18.688828969155825</v>
      </c>
      <c r="FQ44" s="364">
        <v>15.679970573514501</v>
      </c>
      <c r="FR44" s="364">
        <v>9.57885300999728</v>
      </c>
      <c r="FS44" s="364">
        <v>7.1050137094726358</v>
      </c>
      <c r="FT44" s="364">
        <v>9.1832092242378085</v>
      </c>
      <c r="FU44" s="364">
        <v>12.548882896101597</v>
      </c>
      <c r="FV44" s="364">
        <v>12.112217843860259</v>
      </c>
      <c r="FW44" s="364">
        <v>6.8035496994322422</v>
      </c>
      <c r="FX44" s="364">
        <f t="shared" si="0"/>
        <v>9.0633404749788316</v>
      </c>
      <c r="FY44" s="410"/>
      <c r="FZ44" s="410"/>
      <c r="GA44" s="410"/>
      <c r="GB44" s="410"/>
      <c r="GC44" s="410"/>
      <c r="GD44" s="410"/>
      <c r="GE44" s="410"/>
      <c r="GF44" s="410"/>
      <c r="GG44" s="410"/>
      <c r="GH44" s="410"/>
      <c r="GI44" s="360"/>
      <c r="GJ44" s="360"/>
      <c r="GK44" s="360"/>
      <c r="GL44" s="360"/>
      <c r="GM44" s="360"/>
      <c r="GN44" s="360"/>
      <c r="GO44" s="360"/>
      <c r="GP44" s="360"/>
      <c r="GQ44" s="360"/>
      <c r="GR44" s="360"/>
    </row>
    <row r="45" spans="1:200" s="3" customFormat="1" x14ac:dyDescent="0.3">
      <c r="A45" s="17">
        <v>16</v>
      </c>
      <c r="B45" s="21" t="s">
        <v>363</v>
      </c>
      <c r="C45" s="364">
        <v>9.5654140738261724</v>
      </c>
      <c r="D45" s="364">
        <v>9.3485110781189888</v>
      </c>
      <c r="E45" s="364">
        <v>0.21690299570718352</v>
      </c>
      <c r="F45" s="361">
        <v>2.3201876094992711E-2</v>
      </c>
      <c r="G45" s="364"/>
      <c r="H45" s="364">
        <v>9.2304122937032655</v>
      </c>
      <c r="I45" s="364">
        <v>0.1180987844157233</v>
      </c>
      <c r="J45" s="361">
        <v>1.2794529719575697E-2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>
        <v>9.6041477061319451</v>
      </c>
      <c r="FH45" s="364">
        <v>9.6042341257967152</v>
      </c>
      <c r="FI45" s="364">
        <v>9.604158620065375</v>
      </c>
      <c r="FJ45" s="364">
        <v>9.6041734509715369</v>
      </c>
      <c r="FK45" s="364"/>
      <c r="FL45" s="364">
        <v>7.8827521224687578</v>
      </c>
      <c r="FM45" s="364">
        <v>8.0220776484274428</v>
      </c>
      <c r="FN45" s="364">
        <v>8.1858413490469442</v>
      </c>
      <c r="FO45" s="364">
        <v>8.3227796785094856</v>
      </c>
      <c r="FP45" s="364">
        <v>8.4559984959836232</v>
      </c>
      <c r="FQ45" s="364">
        <v>8.5894346089615379</v>
      </c>
      <c r="FR45" s="364">
        <v>8.6035229834979159</v>
      </c>
      <c r="FS45" s="364">
        <v>8.7058665296373707</v>
      </c>
      <c r="FT45" s="364">
        <v>8.881382851174811</v>
      </c>
      <c r="FU45" s="364">
        <v>9.0887583822338875</v>
      </c>
      <c r="FV45" s="364">
        <v>9.2367658419186931</v>
      </c>
      <c r="FW45" s="364">
        <v>9.3541252743451384</v>
      </c>
      <c r="FX45" s="364">
        <f t="shared" si="0"/>
        <v>9.5654140738261724</v>
      </c>
      <c r="FY45" s="410"/>
      <c r="FZ45" s="410"/>
      <c r="GA45" s="410"/>
      <c r="GB45" s="410"/>
      <c r="GC45" s="410"/>
      <c r="GD45" s="410"/>
      <c r="GE45" s="410"/>
      <c r="GF45" s="410"/>
      <c r="GG45" s="410"/>
      <c r="GH45" s="410"/>
      <c r="GI45" s="360"/>
      <c r="GJ45" s="360"/>
      <c r="GK45" s="360"/>
      <c r="GL45" s="360"/>
      <c r="GM45" s="360"/>
      <c r="GN45" s="360"/>
      <c r="GO45" s="360"/>
      <c r="GP45" s="360"/>
      <c r="GQ45" s="360"/>
      <c r="GR45" s="360"/>
    </row>
    <row r="46" spans="1:200" s="3" customFormat="1" x14ac:dyDescent="0.3">
      <c r="A46" s="17">
        <v>17</v>
      </c>
      <c r="B46" s="32" t="s">
        <v>364</v>
      </c>
      <c r="C46" s="364">
        <v>0.69175292166486801</v>
      </c>
      <c r="D46" s="364">
        <v>0.70880305966864054</v>
      </c>
      <c r="E46" s="364">
        <v>-1.705013800377253E-2</v>
      </c>
      <c r="F46" s="361">
        <v>-2.4054831269694751E-2</v>
      </c>
      <c r="G46" s="364"/>
      <c r="H46" s="364">
        <v>0.6917373522143645</v>
      </c>
      <c r="I46" s="364">
        <v>1.7065707454276047E-2</v>
      </c>
      <c r="J46" s="361">
        <v>2.4670790726633345E-2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>
        <v>0.64683067791969118</v>
      </c>
      <c r="FH46" s="364">
        <v>0.63317560521086647</v>
      </c>
      <c r="FI46" s="364">
        <v>0.62208469844453562</v>
      </c>
      <c r="FJ46" s="364">
        <v>0.66504242831967797</v>
      </c>
      <c r="FK46" s="364"/>
      <c r="FL46" s="364">
        <v>0.68547168133529601</v>
      </c>
      <c r="FM46" s="364">
        <v>0.69446949157609739</v>
      </c>
      <c r="FN46" s="364">
        <v>0.712117682009339</v>
      </c>
      <c r="FO46" s="364">
        <v>0.76302118070364955</v>
      </c>
      <c r="FP46" s="364">
        <v>0.82583749466474676</v>
      </c>
      <c r="FQ46" s="364">
        <v>0.86170113241205792</v>
      </c>
      <c r="FR46" s="364">
        <v>0.89549917192852113</v>
      </c>
      <c r="FS46" s="364">
        <v>0.71716453266370783</v>
      </c>
      <c r="FT46" s="364">
        <v>0.70772036900844626</v>
      </c>
      <c r="FU46" s="364">
        <v>0.72463870349216553</v>
      </c>
      <c r="FV46" s="364">
        <v>0.68909868852783485</v>
      </c>
      <c r="FW46" s="364">
        <v>0.70950036240325554</v>
      </c>
      <c r="FX46" s="364">
        <f t="shared" si="0"/>
        <v>0.69175292166486801</v>
      </c>
      <c r="FY46" s="410"/>
      <c r="FZ46" s="410"/>
      <c r="GA46" s="410"/>
      <c r="GB46" s="410"/>
      <c r="GC46" s="410"/>
      <c r="GD46" s="410"/>
      <c r="GE46" s="410"/>
      <c r="GF46" s="410"/>
      <c r="GG46" s="410"/>
      <c r="GH46" s="410"/>
      <c r="GI46" s="360"/>
      <c r="GJ46" s="360"/>
      <c r="GK46" s="360"/>
      <c r="GL46" s="360"/>
      <c r="GM46" s="360"/>
      <c r="GN46" s="360"/>
      <c r="GO46" s="360"/>
      <c r="GP46" s="360"/>
      <c r="GQ46" s="360"/>
      <c r="GR46" s="360"/>
    </row>
    <row r="47" spans="1:200" s="3" customFormat="1" x14ac:dyDescent="0.3">
      <c r="A47" s="17">
        <v>18</v>
      </c>
      <c r="B47" s="32" t="s">
        <v>365</v>
      </c>
      <c r="C47" s="364">
        <v>3.0062740489228399</v>
      </c>
      <c r="D47" s="364">
        <v>3.3587284180571646</v>
      </c>
      <c r="E47" s="364">
        <v>-0.35245436913432471</v>
      </c>
      <c r="F47" s="361">
        <v>-0.10493684670646868</v>
      </c>
      <c r="G47" s="364"/>
      <c r="H47" s="364">
        <v>3.1148155217950664</v>
      </c>
      <c r="I47" s="364">
        <v>0.24391289626209822</v>
      </c>
      <c r="J47" s="361">
        <v>7.8307332988225051E-2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>
        <v>1.6752149295710514</v>
      </c>
      <c r="FH47" s="364">
        <v>2.6760857835580345</v>
      </c>
      <c r="FI47" s="364">
        <v>2.7991078516814447</v>
      </c>
      <c r="FJ47" s="364">
        <v>2.7348646478041725</v>
      </c>
      <c r="FK47" s="364"/>
      <c r="FL47" s="364">
        <v>3.2174831942475159</v>
      </c>
      <c r="FM47" s="364">
        <v>3.3190877417692319</v>
      </c>
      <c r="FN47" s="364">
        <v>2.9165617719227979</v>
      </c>
      <c r="FO47" s="364">
        <v>2.7134459836586386</v>
      </c>
      <c r="FP47" s="364">
        <v>4.0278223253411882</v>
      </c>
      <c r="FQ47" s="364">
        <v>4.0197727995155041</v>
      </c>
      <c r="FR47" s="364">
        <v>4.2933771422413214</v>
      </c>
      <c r="FS47" s="364">
        <v>3.3960440561799277</v>
      </c>
      <c r="FT47" s="364">
        <v>3.2176957573249099</v>
      </c>
      <c r="FU47" s="364">
        <v>3.0817519561448505</v>
      </c>
      <c r="FV47" s="364">
        <v>3.1280044828941223</v>
      </c>
      <c r="FW47" s="364">
        <v>3.378209701797203</v>
      </c>
      <c r="FX47" s="364">
        <f t="shared" si="0"/>
        <v>3.0062740489228399</v>
      </c>
      <c r="FY47" s="410"/>
      <c r="FZ47" s="410"/>
      <c r="GA47" s="410"/>
      <c r="GB47" s="410"/>
      <c r="GC47" s="410"/>
      <c r="GD47" s="410"/>
      <c r="GE47" s="410"/>
      <c r="GF47" s="410"/>
      <c r="GG47" s="410"/>
      <c r="GH47" s="410"/>
      <c r="GI47" s="360"/>
      <c r="GJ47" s="360"/>
      <c r="GK47" s="360"/>
      <c r="GL47" s="360"/>
      <c r="GM47" s="360"/>
      <c r="GN47" s="360"/>
      <c r="GO47" s="360"/>
      <c r="GP47" s="360"/>
      <c r="GQ47" s="360"/>
      <c r="GR47" s="360"/>
    </row>
    <row r="48" spans="1:200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340"/>
      <c r="FK48" s="340"/>
      <c r="FL48" s="428"/>
      <c r="FM48" s="428"/>
      <c r="FN48" s="428"/>
      <c r="FO48" s="428"/>
      <c r="FP48" s="428"/>
      <c r="FQ48" s="428"/>
      <c r="FR48" s="428"/>
      <c r="FS48" s="428"/>
      <c r="FT48" s="428"/>
      <c r="FU48" s="428"/>
      <c r="FV48" s="428"/>
      <c r="FW48" s="428"/>
      <c r="FX48" s="428"/>
      <c r="FY48" s="410"/>
      <c r="FZ48" s="410"/>
      <c r="GA48" s="410"/>
      <c r="GB48" s="410"/>
      <c r="GC48" s="410"/>
      <c r="GD48" s="410"/>
      <c r="GE48" s="410"/>
      <c r="GF48" s="410"/>
      <c r="GG48" s="410"/>
      <c r="GH48" s="410"/>
      <c r="GI48" s="360"/>
      <c r="GJ48" s="360"/>
      <c r="GK48" s="360"/>
      <c r="GL48" s="360"/>
      <c r="GM48" s="360"/>
      <c r="GN48" s="360"/>
      <c r="GO48" s="360"/>
      <c r="GP48" s="360"/>
      <c r="GQ48" s="360"/>
      <c r="GR48" s="360"/>
    </row>
    <row r="49" spans="1:200" s="3" customFormat="1" x14ac:dyDescent="0.3">
      <c r="A49" s="36">
        <v>2</v>
      </c>
      <c r="B49" s="27" t="s">
        <v>366</v>
      </c>
      <c r="C49" s="366">
        <v>57.226664069264068</v>
      </c>
      <c r="D49" s="366">
        <v>56.361727272727265</v>
      </c>
      <c r="E49" s="366">
        <v>0.86493679653680289</v>
      </c>
      <c r="F49" s="365">
        <v>1.5346172631500152E-2</v>
      </c>
      <c r="G49" s="277"/>
      <c r="H49" s="366">
        <v>51.148009090909085</v>
      </c>
      <c r="I49" s="366">
        <v>5.2137181818181801</v>
      </c>
      <c r="J49" s="365">
        <v>0.1019339417992098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>
        <v>57.185376190476184</v>
      </c>
      <c r="FH49" s="366">
        <v>56.759</v>
      </c>
      <c r="FI49" s="366">
        <v>56.514099999999999</v>
      </c>
      <c r="FJ49" s="366">
        <v>56.721600000000002</v>
      </c>
      <c r="FK49" s="366"/>
      <c r="FL49" s="37">
        <v>35.982516666666669</v>
      </c>
      <c r="FM49" s="366">
        <v>36.83894166666667</v>
      </c>
      <c r="FN49" s="366">
        <v>38.105499999999999</v>
      </c>
      <c r="FO49" s="366">
        <v>39.32031666666667</v>
      </c>
      <c r="FP49" s="366">
        <v>41.794502631578943</v>
      </c>
      <c r="FQ49" s="366">
        <v>43.549675270562773</v>
      </c>
      <c r="FR49" s="366">
        <v>45.045503419312176</v>
      </c>
      <c r="FS49" s="366">
        <v>46.064443939393932</v>
      </c>
      <c r="FT49" s="366">
        <v>47.534375788840784</v>
      </c>
      <c r="FU49" s="366">
        <v>49.509992857142855</v>
      </c>
      <c r="FV49" s="366">
        <v>51.29485833333333</v>
      </c>
      <c r="FW49" s="366">
        <v>56.524533333333324</v>
      </c>
      <c r="FX49" s="366">
        <f t="shared" si="0"/>
        <v>57.226664069264068</v>
      </c>
      <c r="FY49" s="410"/>
      <c r="FZ49" s="410"/>
      <c r="GA49" s="410"/>
      <c r="GB49" s="410"/>
      <c r="GC49" s="410"/>
      <c r="GD49" s="410"/>
      <c r="GE49" s="410"/>
      <c r="GF49" s="410"/>
      <c r="GG49" s="410"/>
      <c r="GH49" s="410"/>
      <c r="GI49" s="360"/>
      <c r="GJ49" s="360"/>
      <c r="GK49" s="360"/>
      <c r="GL49" s="360"/>
      <c r="GM49" s="360"/>
      <c r="GN49" s="360"/>
      <c r="GO49" s="360"/>
      <c r="GP49" s="360"/>
      <c r="GQ49" s="360"/>
      <c r="GR49" s="360"/>
    </row>
    <row r="50" spans="1:200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</row>
    <row r="51" spans="1:200" x14ac:dyDescent="0.3">
      <c r="FS51" s="3"/>
      <c r="FW51" s="3"/>
      <c r="FX51" s="360"/>
      <c r="FY51" s="3"/>
      <c r="FZ51" s="3"/>
      <c r="GA51" s="3"/>
      <c r="GB51" s="3"/>
      <c r="GC51" s="3"/>
    </row>
    <row r="52" spans="1:200" x14ac:dyDescent="0.3">
      <c r="FS52" s="3"/>
      <c r="FW52" s="3"/>
      <c r="FX52" s="360"/>
      <c r="FY52" s="3"/>
      <c r="FZ52" s="3"/>
      <c r="GA52" s="3"/>
      <c r="GB52" s="3"/>
      <c r="GC52" s="3"/>
    </row>
    <row r="53" spans="1:200" x14ac:dyDescent="0.3">
      <c r="FS53" s="3"/>
      <c r="FW53" s="3"/>
      <c r="FX53" s="360"/>
      <c r="FY53" s="3"/>
      <c r="FZ53" s="3"/>
      <c r="GA53" s="3"/>
      <c r="GB53" s="3"/>
      <c r="GC53" s="3"/>
    </row>
    <row r="54" spans="1:200" x14ac:dyDescent="0.3">
      <c r="FS54" s="3"/>
      <c r="FW54" s="3"/>
      <c r="FX54" s="360"/>
      <c r="FY54" s="3"/>
      <c r="FZ54" s="3"/>
      <c r="GA54" s="3"/>
      <c r="GB54" s="3"/>
      <c r="GC54" s="3"/>
    </row>
    <row r="55" spans="1:200" x14ac:dyDescent="0.3">
      <c r="FS55" s="3"/>
      <c r="FW55" s="3"/>
      <c r="FX55" s="360"/>
      <c r="FY55" s="3"/>
      <c r="FZ55" s="3"/>
      <c r="GA55" s="3"/>
      <c r="GB55" s="3"/>
      <c r="GC55" s="3"/>
    </row>
    <row r="56" spans="1:200" x14ac:dyDescent="0.3">
      <c r="FS56" s="3"/>
      <c r="FW56" s="3"/>
      <c r="FX56" s="360"/>
      <c r="FY56" s="3"/>
      <c r="FZ56" s="3"/>
      <c r="GA56" s="3"/>
      <c r="GB56" s="3"/>
      <c r="GC56" s="3"/>
    </row>
    <row r="57" spans="1:200" x14ac:dyDescent="0.3">
      <c r="FS57" s="3"/>
      <c r="FW57" s="3"/>
      <c r="FX57" s="360"/>
      <c r="FY57" s="3"/>
      <c r="FZ57" s="3"/>
      <c r="GA57" s="3"/>
      <c r="GB57" s="3"/>
      <c r="GC57" s="3"/>
    </row>
    <row r="58" spans="1:200" x14ac:dyDescent="0.3">
      <c r="FS58" s="3"/>
      <c r="FW58" s="3"/>
      <c r="FX58" s="360"/>
      <c r="FY58" s="3"/>
      <c r="FZ58" s="3"/>
      <c r="GA58" s="3"/>
      <c r="GB58" s="3"/>
      <c r="GC58" s="3"/>
    </row>
    <row r="59" spans="1:200" x14ac:dyDescent="0.3">
      <c r="FS59" s="3"/>
      <c r="FW59" s="3"/>
      <c r="FX59" s="360"/>
      <c r="FY59" s="3"/>
      <c r="FZ59" s="3"/>
      <c r="GA59" s="3"/>
      <c r="GB59" s="3"/>
      <c r="GC59" s="3"/>
    </row>
    <row r="60" spans="1:200" x14ac:dyDescent="0.3">
      <c r="FS60" s="3"/>
      <c r="FW60" s="3"/>
      <c r="FX60" s="360"/>
      <c r="FY60" s="3"/>
      <c r="FZ60" s="3"/>
      <c r="GA60" s="3"/>
      <c r="GB60" s="3"/>
      <c r="GC60" s="3"/>
    </row>
    <row r="61" spans="1:200" x14ac:dyDescent="0.3">
      <c r="FS61" s="3"/>
      <c r="FW61" s="3"/>
      <c r="FX61" s="360"/>
      <c r="FY61" s="3"/>
      <c r="FZ61" s="3"/>
      <c r="GA61" s="3"/>
      <c r="GB61" s="3"/>
      <c r="GC61" s="3"/>
    </row>
    <row r="62" spans="1:200" x14ac:dyDescent="0.3">
      <c r="FS62" s="3"/>
      <c r="FW62" s="3"/>
      <c r="FX62" s="360"/>
      <c r="FY62" s="3"/>
      <c r="FZ62" s="3"/>
      <c r="GA62" s="3"/>
      <c r="GB62" s="3"/>
      <c r="GC62" s="3"/>
    </row>
    <row r="63" spans="1:200" x14ac:dyDescent="0.3">
      <c r="FS63" s="3"/>
      <c r="FW63" s="3"/>
      <c r="FX63" s="360"/>
      <c r="FY63" s="3"/>
      <c r="FZ63" s="3"/>
      <c r="GA63" s="3"/>
      <c r="GB63" s="3"/>
      <c r="GC63" s="3"/>
    </row>
    <row r="64" spans="1:200" x14ac:dyDescent="0.3">
      <c r="FS64" s="3"/>
      <c r="FW64" s="3"/>
      <c r="FX64" s="360"/>
      <c r="FY64" s="3"/>
      <c r="FZ64" s="3"/>
      <c r="GA64" s="3"/>
      <c r="GB64" s="3"/>
      <c r="GC64" s="3"/>
    </row>
    <row r="65" spans="175:185" x14ac:dyDescent="0.3">
      <c r="FS65" s="3"/>
      <c r="FW65" s="3"/>
      <c r="FX65" s="360"/>
      <c r="FY65" s="3"/>
      <c r="FZ65" s="3"/>
      <c r="GA65" s="3"/>
      <c r="GB65" s="3"/>
      <c r="GC65" s="3"/>
    </row>
    <row r="66" spans="175:185" x14ac:dyDescent="0.3">
      <c r="FS66" s="3"/>
      <c r="FW66" s="3"/>
      <c r="FX66" s="360"/>
      <c r="FY66" s="3"/>
      <c r="FZ66" s="3"/>
      <c r="GA66" s="3"/>
      <c r="GB66" s="3"/>
      <c r="GC66" s="3"/>
    </row>
    <row r="67" spans="175:185" x14ac:dyDescent="0.3">
      <c r="FS67" s="3"/>
      <c r="FW67" s="3"/>
      <c r="FX67" s="360"/>
      <c r="FY67" s="3"/>
      <c r="FZ67" s="3"/>
      <c r="GA67" s="3"/>
      <c r="GB67" s="3"/>
      <c r="GC67" s="3"/>
    </row>
    <row r="68" spans="175:185" x14ac:dyDescent="0.3">
      <c r="FS68" s="3"/>
      <c r="FW68" s="3"/>
      <c r="FX68" s="360"/>
      <c r="FY68" s="3"/>
      <c r="FZ68" s="3"/>
      <c r="GA68" s="3"/>
      <c r="GB68" s="3"/>
      <c r="GC68" s="3"/>
    </row>
    <row r="69" spans="175:185" x14ac:dyDescent="0.3">
      <c r="FW69" s="3"/>
      <c r="FX69" s="360"/>
      <c r="FY69" s="3"/>
      <c r="FZ69" s="3"/>
      <c r="GA69" s="3"/>
      <c r="GB69" s="3"/>
      <c r="GC69" s="3"/>
    </row>
    <row r="70" spans="175:185" x14ac:dyDescent="0.3">
      <c r="FW70" s="3"/>
      <c r="FX70" s="360"/>
      <c r="FY70" s="3"/>
      <c r="FZ70" s="3"/>
      <c r="GA70" s="3"/>
      <c r="GB70" s="3"/>
      <c r="GC70" s="3"/>
    </row>
    <row r="71" spans="175:185" x14ac:dyDescent="0.3">
      <c r="FW71" s="3"/>
      <c r="FX71" s="360"/>
      <c r="FY71" s="3"/>
      <c r="FZ71" s="3"/>
      <c r="GA71" s="3"/>
      <c r="GB71" s="3"/>
      <c r="GC71" s="3"/>
    </row>
    <row r="72" spans="175:185" x14ac:dyDescent="0.3">
      <c r="FW72" s="3"/>
      <c r="FX72" s="360"/>
      <c r="FY72" s="3"/>
      <c r="FZ72" s="3"/>
      <c r="GA72" s="3"/>
      <c r="GB72" s="3"/>
      <c r="GC72" s="3"/>
    </row>
    <row r="73" spans="175:185" x14ac:dyDescent="0.3">
      <c r="FW73" s="3"/>
      <c r="FX73" s="360"/>
      <c r="FY73" s="3"/>
      <c r="FZ73" s="3"/>
      <c r="GA73" s="3"/>
      <c r="GB73" s="3"/>
      <c r="GC73" s="3"/>
    </row>
    <row r="74" spans="175:185" x14ac:dyDescent="0.3">
      <c r="FW74" s="3"/>
      <c r="FX74" s="360"/>
      <c r="FY74" s="3"/>
      <c r="FZ74" s="3"/>
      <c r="GA74" s="3"/>
      <c r="GB74" s="3"/>
      <c r="GC74" s="3"/>
    </row>
    <row r="75" spans="175:185" x14ac:dyDescent="0.3">
      <c r="FW75" s="3"/>
      <c r="FX75" s="360"/>
      <c r="FY75" s="3"/>
      <c r="FZ75" s="3"/>
      <c r="GA75" s="3"/>
      <c r="GB75" s="3"/>
      <c r="GC75" s="3"/>
    </row>
    <row r="76" spans="175:185" x14ac:dyDescent="0.3">
      <c r="FW76" s="3"/>
      <c r="FX76" s="360"/>
      <c r="FY76" s="3"/>
      <c r="FZ76" s="3"/>
      <c r="GA76" s="3"/>
      <c r="GB76" s="3"/>
      <c r="GC76" s="3"/>
    </row>
    <row r="77" spans="175:185" x14ac:dyDescent="0.3">
      <c r="FW77" s="3"/>
      <c r="FX77" s="360"/>
      <c r="FY77" s="3"/>
      <c r="FZ77" s="3"/>
      <c r="GA77" s="3"/>
      <c r="GB77" s="3"/>
      <c r="GC77" s="3"/>
    </row>
    <row r="78" spans="175:185" x14ac:dyDescent="0.3">
      <c r="FW78" s="3"/>
      <c r="FX78" s="360"/>
      <c r="FY78" s="3"/>
      <c r="FZ78" s="3"/>
      <c r="GA78" s="3"/>
      <c r="GB78" s="3"/>
      <c r="GC78" s="3"/>
    </row>
    <row r="79" spans="175:185" x14ac:dyDescent="0.3">
      <c r="FW79" s="3"/>
      <c r="FX79" s="360"/>
      <c r="FY79" s="3"/>
      <c r="FZ79" s="3"/>
      <c r="GA79" s="3"/>
      <c r="GB79" s="3"/>
      <c r="GC79" s="3"/>
    </row>
    <row r="80" spans="175:185" x14ac:dyDescent="0.3">
      <c r="FW80" s="3"/>
      <c r="FX80" s="360"/>
      <c r="FY80" s="3"/>
      <c r="FZ80" s="3"/>
      <c r="GA80" s="3"/>
      <c r="GB80" s="3"/>
      <c r="GC80" s="3"/>
    </row>
    <row r="81" spans="179:185" x14ac:dyDescent="0.3">
      <c r="FW81" s="3"/>
      <c r="FX81" s="360"/>
      <c r="FY81" s="3"/>
      <c r="FZ81" s="3"/>
      <c r="GA81" s="3"/>
      <c r="GB81" s="3"/>
      <c r="GC81" s="3"/>
    </row>
    <row r="82" spans="179:185" x14ac:dyDescent="0.3">
      <c r="FW82" s="3"/>
      <c r="FX82" s="360"/>
      <c r="FY82" s="3"/>
      <c r="FZ82" s="3"/>
      <c r="GA82" s="3"/>
      <c r="GB82" s="3"/>
      <c r="GC82" s="3"/>
    </row>
    <row r="83" spans="179:185" x14ac:dyDescent="0.3">
      <c r="FW83" s="3"/>
      <c r="FX83" s="360"/>
      <c r="FY83" s="3"/>
      <c r="FZ83" s="3"/>
      <c r="GA83" s="3"/>
      <c r="GB83" s="3"/>
      <c r="GC83" s="3"/>
    </row>
    <row r="84" spans="179:185" x14ac:dyDescent="0.3">
      <c r="FW84" s="3"/>
      <c r="FX84" s="360"/>
      <c r="FY84" s="3"/>
      <c r="FZ84" s="3"/>
      <c r="GA84" s="3"/>
      <c r="GB84" s="3"/>
      <c r="GC84" s="3"/>
    </row>
    <row r="85" spans="179:185" x14ac:dyDescent="0.3">
      <c r="FW85" s="3"/>
      <c r="FX85" s="360"/>
      <c r="FY85" s="3"/>
      <c r="FZ85" s="3"/>
      <c r="GA85" s="3"/>
      <c r="GB85" s="3"/>
      <c r="GC85" s="3"/>
    </row>
    <row r="86" spans="179:185" x14ac:dyDescent="0.3">
      <c r="FW86" s="3"/>
      <c r="FX86" s="360"/>
      <c r="FY86" s="3"/>
      <c r="FZ86" s="3"/>
      <c r="GA86" s="3"/>
      <c r="GB86" s="3"/>
      <c r="GC86" s="3"/>
    </row>
    <row r="87" spans="179:185" x14ac:dyDescent="0.3">
      <c r="FW87" s="3"/>
      <c r="FX87" s="360"/>
      <c r="FY87" s="3"/>
      <c r="FZ87" s="3"/>
      <c r="GA87" s="3"/>
      <c r="GB87" s="3"/>
      <c r="GC87" s="3"/>
    </row>
    <row r="88" spans="179:185" x14ac:dyDescent="0.3">
      <c r="FW88" s="3"/>
      <c r="FX88" s="360"/>
      <c r="FY88" s="3"/>
      <c r="FZ88" s="3"/>
      <c r="GA88" s="3"/>
      <c r="GB88" s="3"/>
      <c r="GC88" s="3"/>
    </row>
    <row r="89" spans="179:185" x14ac:dyDescent="0.3">
      <c r="FW89" s="3"/>
      <c r="FX89" s="360"/>
      <c r="FY89" s="3"/>
      <c r="FZ89" s="3"/>
      <c r="GA89" s="3"/>
      <c r="GB89" s="3"/>
      <c r="GC89" s="3"/>
    </row>
    <row r="90" spans="179:185" x14ac:dyDescent="0.3">
      <c r="FW90" s="3"/>
      <c r="FX90" s="360"/>
      <c r="FY90" s="3"/>
      <c r="FZ90" s="3"/>
      <c r="GA90" s="3"/>
      <c r="GB90" s="3"/>
      <c r="GC90" s="3"/>
    </row>
    <row r="91" spans="179:185" x14ac:dyDescent="0.3">
      <c r="FW91" s="3"/>
      <c r="FX91" s="360"/>
      <c r="FY91" s="3"/>
      <c r="FZ91" s="3"/>
      <c r="GA91" s="3"/>
      <c r="GB91" s="3"/>
      <c r="GC91" s="3"/>
    </row>
    <row r="92" spans="179:185" x14ac:dyDescent="0.3">
      <c r="FW92" s="3"/>
      <c r="FX92" s="360"/>
      <c r="FY92" s="3"/>
      <c r="FZ92" s="3"/>
      <c r="GA92" s="3"/>
      <c r="GB92" s="3"/>
      <c r="GC92" s="3"/>
    </row>
    <row r="93" spans="179:185" x14ac:dyDescent="0.3">
      <c r="FW93" s="3"/>
      <c r="FX93" s="360"/>
      <c r="FY93" s="3"/>
      <c r="FZ93" s="3"/>
      <c r="GA93" s="3"/>
      <c r="GB93" s="3"/>
      <c r="GC93" s="3"/>
    </row>
    <row r="94" spans="179:185" x14ac:dyDescent="0.3">
      <c r="FW94" s="3"/>
      <c r="FX94" s="360"/>
      <c r="FY94" s="3"/>
      <c r="FZ94" s="3"/>
      <c r="GA94" s="3"/>
      <c r="GB94" s="3"/>
      <c r="GC94" s="3"/>
    </row>
    <row r="95" spans="179:185" x14ac:dyDescent="0.3">
      <c r="FW95" s="3"/>
      <c r="FX95" s="360"/>
      <c r="FY95" s="3"/>
      <c r="FZ95" s="3"/>
      <c r="GA95" s="3"/>
      <c r="GB95" s="3"/>
      <c r="GC95" s="3"/>
    </row>
    <row r="96" spans="179:185" x14ac:dyDescent="0.3">
      <c r="FW96" s="3"/>
      <c r="FX96" s="360"/>
      <c r="FY96" s="3"/>
      <c r="FZ96" s="3"/>
      <c r="GA96" s="3"/>
      <c r="GB96" s="3"/>
      <c r="GC96" s="3"/>
    </row>
    <row r="97" spans="179:185" x14ac:dyDescent="0.3">
      <c r="FW97" s="3"/>
      <c r="FX97" s="360"/>
      <c r="FY97" s="3"/>
      <c r="FZ97" s="3"/>
      <c r="GA97" s="3"/>
      <c r="GB97" s="3"/>
      <c r="GC97" s="3"/>
    </row>
    <row r="98" spans="179:185" x14ac:dyDescent="0.3">
      <c r="FW98" s="3"/>
      <c r="FX98" s="360"/>
      <c r="FY98" s="3"/>
      <c r="FZ98" s="3"/>
      <c r="GA98" s="3"/>
      <c r="GB98" s="3"/>
      <c r="GC98" s="3"/>
    </row>
    <row r="99" spans="179:185" x14ac:dyDescent="0.3">
      <c r="FW99" s="3"/>
      <c r="FX99" s="360"/>
      <c r="FY99" s="3"/>
      <c r="FZ99" s="3"/>
      <c r="GA99" s="3"/>
      <c r="GB99" s="3"/>
      <c r="GC99" s="3"/>
    </row>
    <row r="100" spans="179:185" x14ac:dyDescent="0.3">
      <c r="FW100" s="3"/>
      <c r="FX100" s="360"/>
      <c r="FY100" s="3"/>
      <c r="FZ100" s="3"/>
      <c r="GA100" s="3"/>
      <c r="GB100" s="3"/>
      <c r="GC100" s="3"/>
    </row>
    <row r="101" spans="179:185" x14ac:dyDescent="0.3">
      <c r="FW101" s="3"/>
      <c r="FX101" s="360"/>
      <c r="FY101" s="3"/>
      <c r="FZ101" s="3"/>
      <c r="GA101" s="3"/>
      <c r="GB101" s="3"/>
      <c r="GC101" s="3"/>
    </row>
    <row r="102" spans="179:185" x14ac:dyDescent="0.3">
      <c r="FW102" s="3"/>
      <c r="FX102" s="360"/>
      <c r="FY102" s="3"/>
      <c r="FZ102" s="3"/>
      <c r="GA102" s="3"/>
      <c r="GB102" s="3"/>
      <c r="GC102" s="3"/>
    </row>
  </sheetData>
  <mergeCells count="6">
    <mergeCell ref="FL6:FS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F218"/>
  <sheetViews>
    <sheetView showGridLines="0" zoomScale="87" zoomScaleNormal="87" workbookViewId="0">
      <pane xSplit="11" ySplit="7" topLeftCell="FD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J39" sqref="FJ39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7" width="11.44140625" style="358" customWidth="1"/>
    <col min="168" max="175" width="10.44140625" style="1" customWidth="1"/>
    <col min="176" max="176" width="13.33203125" style="1" customWidth="1"/>
    <col min="177" max="179" width="13.33203125" style="358" customWidth="1"/>
    <col min="180" max="180" width="11.5546875" style="1" bestFit="1" customWidth="1"/>
    <col min="181" max="181" width="11.44140625" style="1" customWidth="1"/>
    <col min="182" max="182" width="12.33203125" style="1" customWidth="1"/>
    <col min="183" max="183" width="12.109375" style="1" customWidth="1"/>
    <col min="184" max="184" width="13.109375" style="1" customWidth="1"/>
    <col min="185" max="185" width="17" style="1" customWidth="1"/>
    <col min="186" max="186" width="13.6640625" style="1" customWidth="1"/>
    <col min="187" max="187" width="12.44140625" style="1" customWidth="1"/>
    <col min="188" max="188" width="14.33203125" style="1" customWidth="1"/>
    <col min="189" max="16384" width="11.44140625" style="1"/>
  </cols>
  <sheetData>
    <row r="1" spans="1:188" ht="13.8" x14ac:dyDescent="0.3">
      <c r="A1" s="2"/>
    </row>
    <row r="2" spans="1:188" ht="15.6" x14ac:dyDescent="0.3">
      <c r="A2" s="4"/>
      <c r="B2" s="471" t="s">
        <v>322</v>
      </c>
    </row>
    <row r="3" spans="1:188" ht="13.8" x14ac:dyDescent="0.3">
      <c r="A3" s="4"/>
      <c r="B3" s="5" t="s">
        <v>0</v>
      </c>
    </row>
    <row r="4" spans="1:188" ht="13.8" x14ac:dyDescent="0.3">
      <c r="A4" s="4"/>
      <c r="B4" s="5" t="s">
        <v>1</v>
      </c>
    </row>
    <row r="5" spans="1:188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L5" s="171"/>
      <c r="FM5" s="171"/>
      <c r="FN5" s="171"/>
      <c r="FO5" s="171"/>
      <c r="FP5" s="171"/>
      <c r="FQ5" s="171"/>
    </row>
    <row r="6" spans="1:188" ht="12.75" customHeight="1" x14ac:dyDescent="0.3">
      <c r="A6" s="4"/>
      <c r="B6" s="172"/>
      <c r="C6" s="486" t="s">
        <v>333</v>
      </c>
      <c r="D6" s="486" t="s">
        <v>334</v>
      </c>
      <c r="E6" s="485" t="s">
        <v>335</v>
      </c>
      <c r="F6" s="485"/>
      <c r="G6" s="356"/>
      <c r="H6" s="486" t="s">
        <v>336</v>
      </c>
      <c r="I6" s="485" t="s">
        <v>337</v>
      </c>
      <c r="J6" s="485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L6" s="483" t="s">
        <v>2</v>
      </c>
      <c r="FM6" s="483"/>
      <c r="FN6" s="483"/>
      <c r="FO6" s="483"/>
      <c r="FP6" s="483"/>
      <c r="FQ6" s="483"/>
      <c r="FR6" s="483"/>
      <c r="FS6" s="483"/>
    </row>
    <row r="7" spans="1:188" s="3" customFormat="1" ht="13.8" x14ac:dyDescent="0.3">
      <c r="A7" s="11"/>
      <c r="B7" s="12"/>
      <c r="C7" s="486"/>
      <c r="D7" s="486"/>
      <c r="E7" s="355" t="s">
        <v>3</v>
      </c>
      <c r="F7" s="355" t="s">
        <v>4</v>
      </c>
      <c r="G7" s="357"/>
      <c r="H7" s="487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15"/>
      <c r="FL7" s="16">
        <v>2009</v>
      </c>
      <c r="FM7" s="16">
        <v>2010</v>
      </c>
      <c r="FN7" s="16" t="s">
        <v>297</v>
      </c>
      <c r="FO7" s="16" t="s">
        <v>298</v>
      </c>
      <c r="FP7" s="16" t="s">
        <v>299</v>
      </c>
      <c r="FQ7" s="16" t="s">
        <v>300</v>
      </c>
      <c r="FR7" s="16" t="s">
        <v>301</v>
      </c>
      <c r="FS7" s="295" t="s">
        <v>302</v>
      </c>
      <c r="FT7" s="334" t="s">
        <v>303</v>
      </c>
      <c r="FU7" s="334" t="s">
        <v>304</v>
      </c>
      <c r="FV7" s="334" t="s">
        <v>305</v>
      </c>
      <c r="FW7" s="334" t="s">
        <v>306</v>
      </c>
      <c r="FX7" s="334" t="s">
        <v>307</v>
      </c>
    </row>
    <row r="8" spans="1:188" s="3" customFormat="1" ht="13.8" x14ac:dyDescent="0.3">
      <c r="A8" s="17"/>
      <c r="B8" s="42" t="s">
        <v>17</v>
      </c>
      <c r="C8" s="362">
        <v>15248.795475151241</v>
      </c>
      <c r="D8" s="362">
        <v>14394.331868737581</v>
      </c>
      <c r="E8" s="286">
        <v>854.46360641365936</v>
      </c>
      <c r="F8" s="289">
        <v>5.9361116181392996E-2</v>
      </c>
      <c r="G8" s="287"/>
      <c r="H8" s="286">
        <v>13916.914152537332</v>
      </c>
      <c r="I8" s="286">
        <v>477.41771620024883</v>
      </c>
      <c r="J8" s="289">
        <v>3.4304854579648748E-2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1500.497785408561</v>
      </c>
      <c r="FG8" s="362">
        <v>1496.5521726690363</v>
      </c>
      <c r="FH8" s="362">
        <v>1527.8898048749977</v>
      </c>
      <c r="FI8" s="362">
        <v>1490.6809545431038</v>
      </c>
      <c r="FJ8" s="362">
        <v>1423.8371595393187</v>
      </c>
      <c r="FK8" s="410"/>
      <c r="FL8" s="28">
        <v>10225.76793856784</v>
      </c>
      <c r="FM8" s="28">
        <v>11091.743808709562</v>
      </c>
      <c r="FN8" s="28">
        <v>11122.742833652233</v>
      </c>
      <c r="FO8" s="28">
        <v>11548.136464577725</v>
      </c>
      <c r="FP8" s="28">
        <v>11949.982625813313</v>
      </c>
      <c r="FQ8" s="28">
        <v>12427.992697548396</v>
      </c>
      <c r="FR8" s="28">
        <v>13077.698328523471</v>
      </c>
      <c r="FS8" s="308">
        <v>13545.632313482376</v>
      </c>
      <c r="FT8" s="362">
        <v>13748.517453876153</v>
      </c>
      <c r="FU8" s="362">
        <v>14303.498556249369</v>
      </c>
      <c r="FV8" s="362">
        <v>15150.165641226589</v>
      </c>
      <c r="FW8" s="362">
        <v>15677.369436034473</v>
      </c>
      <c r="FX8" s="362">
        <f>'EDE''s'!C8</f>
        <v>15248.795475151241</v>
      </c>
      <c r="FY8" s="414"/>
      <c r="FZ8" s="414"/>
      <c r="GA8" s="414"/>
      <c r="GB8" s="414"/>
      <c r="GC8" s="414"/>
      <c r="GD8" s="414"/>
      <c r="GE8" s="414"/>
      <c r="GF8" s="414"/>
    </row>
    <row r="9" spans="1:188" s="3" customFormat="1" ht="13.8" x14ac:dyDescent="0.3">
      <c r="A9" s="17"/>
      <c r="B9" s="21" t="s">
        <v>18</v>
      </c>
      <c r="C9" s="364">
        <v>4584.0477715244797</v>
      </c>
      <c r="D9" s="364">
        <v>4264.9126160347632</v>
      </c>
      <c r="E9" s="288">
        <v>319.13515548971645</v>
      </c>
      <c r="F9" s="285">
        <v>7.4828064305436454E-2</v>
      </c>
      <c r="G9" s="284"/>
      <c r="H9" s="288">
        <v>4074.0772354639957</v>
      </c>
      <c r="I9" s="288">
        <v>190.83538057076748</v>
      </c>
      <c r="J9" s="285">
        <v>4.6841375246788441E-2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457.60807687661401</v>
      </c>
      <c r="FG9" s="364">
        <v>464.06672302603999</v>
      </c>
      <c r="FH9" s="364">
        <v>458.30983399699903</v>
      </c>
      <c r="FI9" s="364">
        <v>447.39718212680197</v>
      </c>
      <c r="FJ9" s="364">
        <v>424.07009904694905</v>
      </c>
      <c r="FK9" s="410"/>
      <c r="FL9" s="22">
        <v>3203.0999089999996</v>
      </c>
      <c r="FM9" s="22">
        <v>3388.15923954444</v>
      </c>
      <c r="FN9" s="22">
        <v>3419.0892499410606</v>
      </c>
      <c r="FO9" s="22">
        <v>3542.8174388292086</v>
      </c>
      <c r="FP9" s="22">
        <v>3692.5957628929964</v>
      </c>
      <c r="FQ9" s="22">
        <v>3789.2694130703007</v>
      </c>
      <c r="FR9" s="22">
        <v>3964.2544930701938</v>
      </c>
      <c r="FS9" s="309">
        <v>4069.9521991127331</v>
      </c>
      <c r="FT9" s="364">
        <v>4074.2175204788459</v>
      </c>
      <c r="FU9" s="364">
        <v>4230.9031395887951</v>
      </c>
      <c r="FV9" s="364">
        <v>4432.629708849995</v>
      </c>
      <c r="FW9" s="364">
        <v>4640.5165426304629</v>
      </c>
      <c r="FX9" s="364">
        <f>'EDE''s'!C9</f>
        <v>4584.0477715244797</v>
      </c>
      <c r="FY9" s="414"/>
      <c r="FZ9" s="414"/>
      <c r="GA9" s="414"/>
      <c r="GB9" s="414"/>
      <c r="GC9" s="414"/>
      <c r="GD9" s="414"/>
      <c r="GE9" s="414"/>
      <c r="GF9" s="414"/>
    </row>
    <row r="10" spans="1:188" s="3" customFormat="1" ht="13.8" x14ac:dyDescent="0.3">
      <c r="A10" s="17"/>
      <c r="B10" s="21" t="s">
        <v>19</v>
      </c>
      <c r="C10" s="364">
        <v>5338.0474321524262</v>
      </c>
      <c r="D10" s="364">
        <v>5096.2994296635588</v>
      </c>
      <c r="E10" s="288">
        <v>241.74800248886731</v>
      </c>
      <c r="F10" s="285">
        <v>4.7435988765053144E-2</v>
      </c>
      <c r="G10" s="284"/>
      <c r="H10" s="288">
        <v>5005.6652385019297</v>
      </c>
      <c r="I10" s="288">
        <v>90.634191161629133</v>
      </c>
      <c r="J10" s="285">
        <v>1.8106322904796104E-2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521.125732501573</v>
      </c>
      <c r="FG10" s="364">
        <v>521.08592127760028</v>
      </c>
      <c r="FH10" s="364">
        <v>537.50305911999965</v>
      </c>
      <c r="FI10" s="364">
        <v>522.14685159880071</v>
      </c>
      <c r="FJ10" s="364">
        <v>503.54172998587376</v>
      </c>
      <c r="FK10" s="410"/>
      <c r="FL10" s="22">
        <v>3901.926024538001</v>
      </c>
      <c r="FM10" s="22">
        <v>4129.4870024210768</v>
      </c>
      <c r="FN10" s="22">
        <v>4155.8124988210166</v>
      </c>
      <c r="FO10" s="22">
        <v>4264.6211838304953</v>
      </c>
      <c r="FP10" s="22">
        <v>4380.0592145348865</v>
      </c>
      <c r="FQ10" s="22">
        <v>4514.5252196790707</v>
      </c>
      <c r="FR10" s="22">
        <v>4691.1901336373721</v>
      </c>
      <c r="FS10" s="309">
        <v>4974.860479572736</v>
      </c>
      <c r="FT10" s="364">
        <v>5006.507931388237</v>
      </c>
      <c r="FU10" s="364">
        <v>5053.225517312826</v>
      </c>
      <c r="FV10" s="364">
        <v>5456.3866770179302</v>
      </c>
      <c r="FW10" s="364">
        <v>5548.5148812442912</v>
      </c>
      <c r="FX10" s="364">
        <f>'EDE''s'!C10</f>
        <v>5338.0474321524262</v>
      </c>
      <c r="FY10" s="414"/>
      <c r="FZ10" s="414"/>
      <c r="GA10" s="414"/>
      <c r="GB10" s="414"/>
      <c r="GC10" s="414"/>
      <c r="GD10" s="414"/>
      <c r="GE10" s="414"/>
      <c r="GF10" s="414"/>
    </row>
    <row r="11" spans="1:188" s="3" customFormat="1" ht="13.8" x14ac:dyDescent="0.3">
      <c r="A11" s="17"/>
      <c r="B11" s="21" t="s">
        <v>20</v>
      </c>
      <c r="C11" s="364">
        <v>5326.7002714743348</v>
      </c>
      <c r="D11" s="364">
        <v>5033.1198230392592</v>
      </c>
      <c r="E11" s="288">
        <v>293.5804484350756</v>
      </c>
      <c r="F11" s="285">
        <v>5.8329715714535976E-2</v>
      </c>
      <c r="G11" s="284"/>
      <c r="H11" s="288">
        <v>4837.1716785714043</v>
      </c>
      <c r="I11" s="288">
        <v>195.94814446785495</v>
      </c>
      <c r="J11" s="285">
        <v>4.0508825712327348E-2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364">
        <v>511.39952836539601</v>
      </c>
      <c r="FH11" s="364">
        <v>532.07691175799903</v>
      </c>
      <c r="FI11" s="364">
        <v>521.13692081750105</v>
      </c>
      <c r="FJ11" s="364">
        <v>496.22533050649599</v>
      </c>
      <c r="FK11" s="410"/>
      <c r="FL11" s="22">
        <v>3120.7420050298401</v>
      </c>
      <c r="FM11" s="22">
        <v>3574.0975667440443</v>
      </c>
      <c r="FN11" s="22">
        <v>3547.8410848901567</v>
      </c>
      <c r="FO11" s="22">
        <v>3740.6978419180205</v>
      </c>
      <c r="FP11" s="22">
        <v>3877.3276483854293</v>
      </c>
      <c r="FQ11" s="22">
        <v>4124.198064799024</v>
      </c>
      <c r="FR11" s="22">
        <v>4422.2537018159055</v>
      </c>
      <c r="FS11" s="309">
        <v>4500.8196347969069</v>
      </c>
      <c r="FT11" s="364">
        <v>4667.7920020090696</v>
      </c>
      <c r="FU11" s="364">
        <v>5019.3698993477483</v>
      </c>
      <c r="FV11" s="364">
        <v>5261.1492553586631</v>
      </c>
      <c r="FW11" s="364">
        <v>5488.3380121597183</v>
      </c>
      <c r="FX11" s="364">
        <f>'EDE''s'!C11</f>
        <v>5326.7002714743348</v>
      </c>
      <c r="FY11" s="414"/>
      <c r="FZ11" s="414"/>
      <c r="GA11" s="414"/>
      <c r="GB11" s="414"/>
      <c r="GC11" s="414"/>
      <c r="GD11" s="414"/>
      <c r="GE11" s="414"/>
      <c r="GF11" s="414"/>
    </row>
    <row r="12" spans="1:188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410"/>
      <c r="FL12" s="25"/>
      <c r="FM12" s="25"/>
      <c r="FN12" s="25"/>
      <c r="FO12" s="25"/>
      <c r="FP12" s="25"/>
      <c r="FQ12" s="25"/>
      <c r="FR12" s="25"/>
      <c r="FS12" s="306"/>
      <c r="FT12" s="306"/>
      <c r="FU12" s="306"/>
      <c r="FV12" s="306"/>
      <c r="FW12" s="306"/>
      <c r="FX12" s="306"/>
      <c r="FY12" s="414"/>
      <c r="FZ12" s="414"/>
      <c r="GA12" s="414"/>
      <c r="GB12" s="414"/>
      <c r="GC12" s="414"/>
      <c r="GD12" s="414"/>
      <c r="GE12" s="414"/>
      <c r="GF12" s="414"/>
    </row>
    <row r="13" spans="1:188" s="3" customFormat="1" ht="13.8" x14ac:dyDescent="0.3">
      <c r="A13" s="17"/>
      <c r="B13" s="42" t="s">
        <v>21</v>
      </c>
      <c r="C13" s="366">
        <v>12.400564627543291</v>
      </c>
      <c r="D13" s="366">
        <v>10.868991337611019</v>
      </c>
      <c r="E13" s="290">
        <v>1.5315732899322718</v>
      </c>
      <c r="F13" s="289">
        <v>0.14091218240577863</v>
      </c>
      <c r="G13" s="287"/>
      <c r="H13" s="290">
        <v>13.057747422324468</v>
      </c>
      <c r="I13" s="290">
        <v>-2.1887560847134484</v>
      </c>
      <c r="J13" s="289">
        <v>-0.16762126069090547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12.133340448618247</v>
      </c>
      <c r="FG13" s="366">
        <v>12.574678356199723</v>
      </c>
      <c r="FH13" s="366">
        <v>13.048283982618205</v>
      </c>
      <c r="FI13" s="366">
        <v>13.013172428347749</v>
      </c>
      <c r="FJ13" s="366">
        <v>13.845232425308543</v>
      </c>
      <c r="FK13" s="410"/>
      <c r="FL13" s="37">
        <v>12.816450679601788</v>
      </c>
      <c r="FM13" s="37">
        <v>14.283681131817039</v>
      </c>
      <c r="FN13" s="37">
        <v>17.94627133575618</v>
      </c>
      <c r="FO13" s="37">
        <v>17.697531745495162</v>
      </c>
      <c r="FP13" s="37">
        <v>16.497003313742454</v>
      </c>
      <c r="FQ13" s="37">
        <v>16.373913682844368</v>
      </c>
      <c r="FR13" s="37">
        <v>12.300884171495015</v>
      </c>
      <c r="FS13" s="311">
        <v>10.385400846819378</v>
      </c>
      <c r="FT13" s="366">
        <v>11.581268938830942</v>
      </c>
      <c r="FU13" s="366">
        <v>13.335628821083304</v>
      </c>
      <c r="FV13" s="366">
        <v>12.88526263526688</v>
      </c>
      <c r="FW13" s="366">
        <v>10.940195100867394</v>
      </c>
      <c r="FX13" s="366">
        <f>'EDE''s'!C13</f>
        <v>12.400564627543291</v>
      </c>
      <c r="FY13" s="414"/>
      <c r="FZ13" s="414"/>
      <c r="GA13" s="414"/>
      <c r="GB13" s="414"/>
      <c r="GC13" s="414"/>
      <c r="GD13" s="414"/>
      <c r="GE13" s="414"/>
      <c r="GF13" s="414"/>
    </row>
    <row r="14" spans="1:188" s="3" customFormat="1" ht="13.8" x14ac:dyDescent="0.3">
      <c r="A14" s="17"/>
      <c r="B14" s="21" t="s">
        <v>18</v>
      </c>
      <c r="C14" s="284">
        <v>12.573596406800897</v>
      </c>
      <c r="D14" s="284">
        <v>11.54274201944679</v>
      </c>
      <c r="E14" s="284">
        <v>1.0308543873541076</v>
      </c>
      <c r="F14" s="285">
        <v>8.9307582688529452E-2</v>
      </c>
      <c r="G14" s="284"/>
      <c r="H14" s="284">
        <v>13.412178271513703</v>
      </c>
      <c r="I14" s="284">
        <v>-1.8694362520669134</v>
      </c>
      <c r="J14" s="285">
        <v>-0.13938349269017941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12.474227475548158</v>
      </c>
      <c r="FG14" s="306">
        <v>13.021227248386625</v>
      </c>
      <c r="FH14" s="306">
        <v>12.833650630081534</v>
      </c>
      <c r="FI14" s="306">
        <v>13.007400652099651</v>
      </c>
      <c r="FJ14" s="306">
        <v>13.771200375581872</v>
      </c>
      <c r="FK14" s="410"/>
      <c r="FL14" s="25">
        <v>13.374010791960817</v>
      </c>
      <c r="FM14" s="25">
        <v>15.273750095902841</v>
      </c>
      <c r="FN14" s="25">
        <v>19.933406488383206</v>
      </c>
      <c r="FO14" s="25">
        <v>20.193520086411979</v>
      </c>
      <c r="FP14" s="25">
        <v>18.236614426687048</v>
      </c>
      <c r="FQ14" s="25">
        <v>18.108798244181763</v>
      </c>
      <c r="FR14" s="25">
        <v>13.497026440240456</v>
      </c>
      <c r="FS14" s="306">
        <v>10.98710285157823</v>
      </c>
      <c r="FT14" s="306">
        <v>12.188787697467536</v>
      </c>
      <c r="FU14" s="306">
        <v>13.668423046467018</v>
      </c>
      <c r="FV14" s="306">
        <v>13.296175515174665</v>
      </c>
      <c r="FW14" s="306">
        <v>11.648634082390055</v>
      </c>
      <c r="FX14" s="366">
        <f>'EDE''s'!C14</f>
        <v>12.573596406800897</v>
      </c>
      <c r="FY14" s="414"/>
      <c r="FZ14" s="414"/>
      <c r="GA14" s="414"/>
      <c r="GB14" s="414"/>
      <c r="GC14" s="414"/>
      <c r="GD14" s="414"/>
      <c r="GE14" s="414"/>
      <c r="GF14" s="414"/>
    </row>
    <row r="15" spans="1:188" s="3" customFormat="1" ht="13.8" x14ac:dyDescent="0.3">
      <c r="A15" s="17"/>
      <c r="B15" s="21" t="s">
        <v>19</v>
      </c>
      <c r="C15" s="284">
        <v>12.575269349270627</v>
      </c>
      <c r="D15" s="284">
        <v>11.000400473948066</v>
      </c>
      <c r="E15" s="284">
        <v>1.5748688753225615</v>
      </c>
      <c r="F15" s="285">
        <v>0.14316468559960871</v>
      </c>
      <c r="G15" s="284"/>
      <c r="H15" s="284">
        <v>12.486052577064727</v>
      </c>
      <c r="I15" s="284">
        <v>-1.4856521031166618</v>
      </c>
      <c r="J15" s="285">
        <v>-0.11898493090166973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12.239350125888702</v>
      </c>
      <c r="FG15" s="306">
        <v>12.817157178854242</v>
      </c>
      <c r="FH15" s="306">
        <v>13.169159190191374</v>
      </c>
      <c r="FI15" s="306">
        <v>13.15820971123518</v>
      </c>
      <c r="FJ15" s="306">
        <v>13.963286217647141</v>
      </c>
      <c r="FK15" s="410"/>
      <c r="FL15" s="25">
        <v>13.479947897655089</v>
      </c>
      <c r="FM15" s="25">
        <v>15.213365377401564</v>
      </c>
      <c r="FN15" s="25">
        <v>19.443462336571173</v>
      </c>
      <c r="FO15" s="25">
        <v>19.862842441547542</v>
      </c>
      <c r="FP15" s="25">
        <v>17.967029519686601</v>
      </c>
      <c r="FQ15" s="25">
        <v>17.698238512879037</v>
      </c>
      <c r="FR15" s="25">
        <v>13.002244854834128</v>
      </c>
      <c r="FS15" s="306">
        <v>10.855550885044494</v>
      </c>
      <c r="FT15" s="306">
        <v>11.710473430295162</v>
      </c>
      <c r="FU15" s="306">
        <v>12.888382226297217</v>
      </c>
      <c r="FV15" s="306">
        <v>12.337920037805826</v>
      </c>
      <c r="FW15" s="306">
        <v>11.07081732340691</v>
      </c>
      <c r="FX15" s="366">
        <f>'EDE''s'!C15</f>
        <v>12.575269349270627</v>
      </c>
      <c r="FY15" s="414"/>
      <c r="FZ15" s="414"/>
      <c r="GA15" s="414"/>
      <c r="GB15" s="414"/>
      <c r="GC15" s="414"/>
      <c r="GD15" s="414"/>
      <c r="GE15" s="414"/>
      <c r="GF15" s="414"/>
    </row>
    <row r="16" spans="1:188" s="3" customFormat="1" ht="13.8" x14ac:dyDescent="0.3">
      <c r="A16" s="17"/>
      <c r="B16" s="21" t="s">
        <v>20</v>
      </c>
      <c r="C16" s="284">
        <v>12.076580182134917</v>
      </c>
      <c r="D16" s="284">
        <v>10.165016821969362</v>
      </c>
      <c r="E16" s="284">
        <v>1.9115633601655553</v>
      </c>
      <c r="F16" s="285">
        <v>0.18805314281764374</v>
      </c>
      <c r="G16" s="284"/>
      <c r="H16" s="284">
        <v>13.350839016736964</v>
      </c>
      <c r="I16" s="284">
        <v>-3.1858221947676029</v>
      </c>
      <c r="J16" s="285">
        <v>-0.23862336972034282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306">
        <v>11.922388388652124</v>
      </c>
      <c r="FH16" s="306">
        <v>13.111052694417054</v>
      </c>
      <c r="FI16" s="306">
        <v>12.872809154757189</v>
      </c>
      <c r="FJ16" s="306">
        <v>13.78870521792736</v>
      </c>
      <c r="FK16" s="410"/>
      <c r="FL16" s="25">
        <v>11.414592467535922</v>
      </c>
      <c r="FM16" s="25">
        <v>12.270968780625195</v>
      </c>
      <c r="FN16" s="25">
        <v>14.277494408776267</v>
      </c>
      <c r="FO16" s="25">
        <v>12.864994703154069</v>
      </c>
      <c r="FP16" s="25">
        <v>13.179645684951316</v>
      </c>
      <c r="FQ16" s="25">
        <v>13.330257037238027</v>
      </c>
      <c r="FR16" s="25">
        <v>10.484609207955788</v>
      </c>
      <c r="FS16" s="306">
        <v>9.3216325489078731</v>
      </c>
      <c r="FT16" s="306">
        <v>10.912424465812519</v>
      </c>
      <c r="FU16" s="306">
        <v>13.505374783101775</v>
      </c>
      <c r="FV16" s="306">
        <v>13.106713911551404</v>
      </c>
      <c r="FW16" s="306">
        <v>10.209139150980109</v>
      </c>
      <c r="FX16" s="366">
        <f>'EDE''s'!C16</f>
        <v>12.076580182134917</v>
      </c>
      <c r="FY16" s="414"/>
      <c r="FZ16" s="414"/>
      <c r="GA16" s="414"/>
      <c r="GB16" s="414"/>
      <c r="GC16" s="414"/>
      <c r="GD16" s="414"/>
      <c r="GE16" s="414"/>
      <c r="GF16" s="414"/>
    </row>
    <row r="17" spans="1:188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306"/>
      <c r="FK17" s="410"/>
      <c r="FL17" s="25"/>
      <c r="FM17" s="25"/>
      <c r="FN17" s="25"/>
      <c r="FO17" s="25"/>
      <c r="FP17" s="25"/>
      <c r="FQ17" s="25"/>
      <c r="FR17" s="25"/>
      <c r="FS17" s="306"/>
      <c r="FT17" s="306"/>
      <c r="FU17" s="306"/>
      <c r="FV17" s="306"/>
      <c r="FW17" s="306"/>
      <c r="FX17" s="306"/>
      <c r="FY17" s="414"/>
      <c r="FZ17" s="414"/>
      <c r="GA17" s="414"/>
      <c r="GB17" s="414"/>
      <c r="GC17" s="414"/>
      <c r="GD17" s="414"/>
      <c r="GE17" s="414"/>
      <c r="GF17" s="414"/>
    </row>
    <row r="18" spans="1:188" s="3" customFormat="1" ht="13.8" x14ac:dyDescent="0.3">
      <c r="A18" s="17"/>
      <c r="B18" s="42" t="s">
        <v>22</v>
      </c>
      <c r="C18" s="286">
        <v>1890.9367378180266</v>
      </c>
      <c r="D18" s="286">
        <v>1564.5186839200701</v>
      </c>
      <c r="E18" s="286">
        <v>326.4180538979565</v>
      </c>
      <c r="F18" s="289">
        <v>0.20863800301833463</v>
      </c>
      <c r="G18" s="287"/>
      <c r="H18" s="286">
        <v>1817.2354990200527</v>
      </c>
      <c r="I18" s="286">
        <v>-252.71681509998257</v>
      </c>
      <c r="J18" s="289">
        <v>-0.13906662908371564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362">
        <v>188.18662214585001</v>
      </c>
      <c r="FH18" s="362">
        <v>199.36340068156088</v>
      </c>
      <c r="FI18" s="362">
        <v>193.98488297123424</v>
      </c>
      <c r="FJ18" s="362">
        <v>197.13356409612987</v>
      </c>
      <c r="FK18" s="410"/>
      <c r="FL18" s="28">
        <v>1310.5805044570798</v>
      </c>
      <c r="FM18" s="28">
        <v>1584.3093175941322</v>
      </c>
      <c r="FN18" s="28">
        <v>1996.1176089056053</v>
      </c>
      <c r="FO18" s="28">
        <v>2043.7351168317455</v>
      </c>
      <c r="FP18" s="28">
        <v>1971.3890297720695</v>
      </c>
      <c r="FQ18" s="28">
        <v>2034.9487968067756</v>
      </c>
      <c r="FR18" s="28">
        <v>1608.6725236892119</v>
      </c>
      <c r="FS18" s="308">
        <v>1406.7682129914378</v>
      </c>
      <c r="FT18" s="362">
        <v>1592.2527814355096</v>
      </c>
      <c r="FU18" s="362">
        <v>1907.4614758904252</v>
      </c>
      <c r="FV18" s="362">
        <v>1952.1386325500107</v>
      </c>
      <c r="FW18" s="362">
        <v>1715.1348029859255</v>
      </c>
      <c r="FX18" s="362">
        <f>'EDE''s'!C18</f>
        <v>1890.9367378180266</v>
      </c>
      <c r="FY18" s="414"/>
      <c r="FZ18" s="414"/>
      <c r="GA18" s="414"/>
      <c r="GB18" s="414"/>
      <c r="GC18" s="414"/>
      <c r="GD18" s="414"/>
      <c r="GE18" s="414"/>
      <c r="GF18" s="414"/>
    </row>
    <row r="19" spans="1:188" s="3" customFormat="1" ht="13.8" x14ac:dyDescent="0.3">
      <c r="A19" s="17"/>
      <c r="B19" s="21" t="s">
        <v>18</v>
      </c>
      <c r="C19" s="288">
        <v>576.37966588643849</v>
      </c>
      <c r="D19" s="288">
        <v>492.28786062373189</v>
      </c>
      <c r="E19" s="288">
        <v>84.0918052627066</v>
      </c>
      <c r="F19" s="285">
        <v>0.17081836053434618</v>
      </c>
      <c r="G19" s="284"/>
      <c r="H19" s="288">
        <v>546.42250173958814</v>
      </c>
      <c r="I19" s="288">
        <v>-54.134641115856255</v>
      </c>
      <c r="J19" s="285">
        <v>-9.9071031927699657E-2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364">
        <v>60.4271825893616</v>
      </c>
      <c r="FH19" s="364">
        <v>58.8178828984815</v>
      </c>
      <c r="FI19" s="364">
        <v>58.194743985437107</v>
      </c>
      <c r="FJ19" s="364">
        <v>58.399543072683862</v>
      </c>
      <c r="FK19" s="410"/>
      <c r="FL19" s="22">
        <v>428.38292750694706</v>
      </c>
      <c r="FM19" s="22">
        <v>517.49897509925984</v>
      </c>
      <c r="FN19" s="22">
        <v>681.54095839136403</v>
      </c>
      <c r="FO19" s="22">
        <v>715.41955113488268</v>
      </c>
      <c r="FP19" s="22">
        <v>673.40445161497883</v>
      </c>
      <c r="FQ19" s="22">
        <v>686.19115294139112</v>
      </c>
      <c r="FR19" s="22">
        <v>535.05647708810432</v>
      </c>
      <c r="FS19" s="309">
        <v>447.16983412658595</v>
      </c>
      <c r="FT19" s="364">
        <v>496.59772390419243</v>
      </c>
      <c r="FU19" s="364">
        <v>578.29773980525147</v>
      </c>
      <c r="FV19" s="364">
        <v>589.37022602647107</v>
      </c>
      <c r="FW19" s="364">
        <v>540.55679158380076</v>
      </c>
      <c r="FX19" s="364">
        <f>'EDE''s'!C19</f>
        <v>576.37966588643849</v>
      </c>
      <c r="FY19" s="414"/>
      <c r="FZ19" s="414"/>
      <c r="GA19" s="414"/>
      <c r="GB19" s="414"/>
      <c r="GC19" s="414"/>
      <c r="GD19" s="414"/>
      <c r="GE19" s="414"/>
      <c r="GF19" s="414"/>
    </row>
    <row r="20" spans="1:188" s="3" customFormat="1" ht="13.8" x14ac:dyDescent="0.3">
      <c r="A20" s="17"/>
      <c r="B20" s="21" t="s">
        <v>19</v>
      </c>
      <c r="C20" s="288">
        <v>671.27384258499171</v>
      </c>
      <c r="D20" s="288">
        <v>560.6133466145227</v>
      </c>
      <c r="E20" s="288">
        <v>110.66049597046901</v>
      </c>
      <c r="F20" s="285">
        <v>0.19739183278231706</v>
      </c>
      <c r="G20" s="284"/>
      <c r="H20" s="288">
        <v>625.00999351120345</v>
      </c>
      <c r="I20" s="288">
        <v>-64.39664689668075</v>
      </c>
      <c r="J20" s="285">
        <v>-0.10303298757658412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63.782402996969701</v>
      </c>
      <c r="FG20" s="364">
        <v>66.788401567030704</v>
      </c>
      <c r="FH20" s="364">
        <v>70.784633507661198</v>
      </c>
      <c r="FI20" s="364">
        <v>68.70517773398214</v>
      </c>
      <c r="FJ20" s="364">
        <v>70.3109729832195</v>
      </c>
      <c r="FK20" s="410"/>
      <c r="FL20" s="22">
        <v>525.97759511276706</v>
      </c>
      <c r="FM20" s="22">
        <v>628.23394589062582</v>
      </c>
      <c r="FN20" s="22">
        <v>808.03383798678169</v>
      </c>
      <c r="FO20" s="22">
        <v>847.07498647311093</v>
      </c>
      <c r="FP20" s="22">
        <v>786.96653205523603</v>
      </c>
      <c r="FQ20" s="22">
        <v>798.99144110287818</v>
      </c>
      <c r="FR20" s="22">
        <v>609.96002778135141</v>
      </c>
      <c r="FS20" s="309">
        <v>540.04851081998686</v>
      </c>
      <c r="FT20" s="364">
        <v>586.28578109083946</v>
      </c>
      <c r="FU20" s="364">
        <v>651.27901942806193</v>
      </c>
      <c r="FV20" s="364">
        <v>673.20462516396265</v>
      </c>
      <c r="FW20" s="364">
        <v>614.26594666460335</v>
      </c>
      <c r="FX20" s="364">
        <f>'EDE''s'!C20</f>
        <v>671.27384258499171</v>
      </c>
      <c r="FY20" s="414"/>
      <c r="FZ20" s="414"/>
      <c r="GA20" s="414"/>
      <c r="GB20" s="414"/>
      <c r="GC20" s="414"/>
      <c r="GD20" s="414"/>
      <c r="GE20" s="414"/>
      <c r="GF20" s="414"/>
    </row>
    <row r="21" spans="1:188" s="3" customFormat="1" ht="13.8" x14ac:dyDescent="0.3">
      <c r="A21" s="17"/>
      <c r="B21" s="21" t="s">
        <v>20</v>
      </c>
      <c r="C21" s="288">
        <v>643.28322934659639</v>
      </c>
      <c r="D21" s="288">
        <v>511.61747668181522</v>
      </c>
      <c r="E21" s="288">
        <v>131.66575266478117</v>
      </c>
      <c r="F21" s="285">
        <v>0.25735194489195812</v>
      </c>
      <c r="G21" s="284"/>
      <c r="H21" s="288">
        <v>645.80300376926141</v>
      </c>
      <c r="I21" s="288">
        <v>-134.18552708744619</v>
      </c>
      <c r="J21" s="285">
        <v>-0.20778089650290518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364">
        <v>60.971037989457699</v>
      </c>
      <c r="FH21" s="364">
        <v>69.760884275418192</v>
      </c>
      <c r="FI21" s="364">
        <v>67.084961251815002</v>
      </c>
      <c r="FJ21" s="364">
        <v>68.423048040226504</v>
      </c>
      <c r="FK21" s="410"/>
      <c r="FL21" s="22">
        <v>356.21998183736565</v>
      </c>
      <c r="FM21" s="22">
        <v>438.57639660424644</v>
      </c>
      <c r="FN21" s="22">
        <v>506.54281252745943</v>
      </c>
      <c r="FO21" s="22">
        <v>481.24057922375198</v>
      </c>
      <c r="FP21" s="22">
        <v>511.01804610185457</v>
      </c>
      <c r="FQ21" s="22">
        <v>549.7662027625064</v>
      </c>
      <c r="FR21" s="22">
        <v>463.65601881975618</v>
      </c>
      <c r="FS21" s="309">
        <v>419.54986804486498</v>
      </c>
      <c r="FT21" s="364">
        <v>509.36927644047768</v>
      </c>
      <c r="FU21" s="364">
        <v>677.88471665711177</v>
      </c>
      <c r="FV21" s="364">
        <v>689.56378135957698</v>
      </c>
      <c r="FW21" s="364">
        <v>560.31206473752127</v>
      </c>
      <c r="FX21" s="364">
        <f>'EDE''s'!C21</f>
        <v>643.28322934659639</v>
      </c>
      <c r="FY21" s="414"/>
      <c r="FZ21" s="414"/>
      <c r="GA21" s="414"/>
      <c r="GB21" s="414"/>
      <c r="GC21" s="414"/>
      <c r="GD21" s="414"/>
      <c r="GE21" s="414"/>
      <c r="GF21" s="414"/>
    </row>
    <row r="22" spans="1:188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306"/>
      <c r="FJ22" s="306"/>
      <c r="FK22" s="410"/>
      <c r="FL22" s="25"/>
      <c r="FM22" s="25"/>
      <c r="FN22" s="25"/>
      <c r="FO22" s="25"/>
      <c r="FP22" s="25"/>
      <c r="FQ22" s="25"/>
      <c r="FR22" s="25"/>
      <c r="FS22" s="306"/>
      <c r="FT22" s="306"/>
      <c r="FU22" s="306"/>
      <c r="FV22" s="306"/>
      <c r="FW22" s="306"/>
      <c r="FX22" s="306"/>
      <c r="FY22" s="414"/>
      <c r="FZ22" s="414"/>
      <c r="GA22" s="414"/>
      <c r="GB22" s="414"/>
      <c r="GC22" s="414"/>
      <c r="GD22" s="414"/>
      <c r="GE22" s="414"/>
      <c r="GF22" s="414"/>
    </row>
    <row r="23" spans="1:188" s="3" customFormat="1" ht="13.8" x14ac:dyDescent="0.3">
      <c r="A23" s="45"/>
      <c r="B23" s="42" t="s">
        <v>23</v>
      </c>
      <c r="C23" s="286">
        <v>14140.299497283861</v>
      </c>
      <c r="D23" s="286">
        <v>11814.617985244142</v>
      </c>
      <c r="E23" s="286">
        <v>2325.6815120397187</v>
      </c>
      <c r="F23" s="289">
        <v>0.19684779608992664</v>
      </c>
      <c r="G23" s="287"/>
      <c r="H23" s="286">
        <v>8326.7975078102445</v>
      </c>
      <c r="I23" s="286">
        <v>3487.8204774338974</v>
      </c>
      <c r="J23" s="289">
        <v>0.41886697426741121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1497.7365847930464</v>
      </c>
      <c r="FG23" s="362">
        <v>1418.0940906324156</v>
      </c>
      <c r="FH23" s="362">
        <v>1288.4295246831798</v>
      </c>
      <c r="FI23" s="362">
        <v>1348.332333861772</v>
      </c>
      <c r="FJ23" s="362">
        <v>1216.3728184740378</v>
      </c>
      <c r="FK23" s="410"/>
      <c r="FL23" s="28">
        <v>10225.76793856784</v>
      </c>
      <c r="FM23" s="28">
        <v>10236.360127687789</v>
      </c>
      <c r="FN23" s="28">
        <v>9885.4654741125287</v>
      </c>
      <c r="FO23" s="28">
        <v>10190.302829846314</v>
      </c>
      <c r="FP23" s="28">
        <v>10940.576132615335</v>
      </c>
      <c r="FQ23" s="28">
        <v>10055.774634001968</v>
      </c>
      <c r="FR23" s="28">
        <v>9419.7001674219446</v>
      </c>
      <c r="FS23" s="308">
        <v>8962.2019575501163</v>
      </c>
      <c r="FT23" s="362">
        <v>7462.5729950376444</v>
      </c>
      <c r="FU23" s="362">
        <v>7982.3813135656892</v>
      </c>
      <c r="FV23" s="362">
        <v>9226.8143193458127</v>
      </c>
      <c r="FW23" s="362">
        <v>13157.543446698102</v>
      </c>
      <c r="FX23" s="362">
        <f>'EDE''s'!C23</f>
        <v>14140.299497283861</v>
      </c>
      <c r="FY23" s="414"/>
      <c r="FZ23" s="414"/>
      <c r="GA23" s="414"/>
      <c r="GB23" s="414"/>
      <c r="GC23" s="414"/>
      <c r="GD23" s="414"/>
      <c r="GE23" s="414"/>
      <c r="GF23" s="414"/>
    </row>
    <row r="24" spans="1:188" s="3" customFormat="1" ht="13.8" x14ac:dyDescent="0.3">
      <c r="A24" s="45"/>
      <c r="B24" s="21" t="s">
        <v>18</v>
      </c>
      <c r="C24" s="288">
        <v>4463.61162862943</v>
      </c>
      <c r="D24" s="288">
        <v>3866.487231993186</v>
      </c>
      <c r="E24" s="288">
        <v>597.124396636244</v>
      </c>
      <c r="F24" s="285">
        <v>0.15443588994561985</v>
      </c>
      <c r="G24" s="284"/>
      <c r="H24" s="288">
        <v>3082.7726349314653</v>
      </c>
      <c r="I24" s="288">
        <v>783.71459706172072</v>
      </c>
      <c r="J24" s="285">
        <v>0.25422393730283777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451.77682028834255</v>
      </c>
      <c r="FG24" s="364">
        <v>419.53500070295149</v>
      </c>
      <c r="FH24" s="364">
        <v>499.78930233871665</v>
      </c>
      <c r="FI24" s="364">
        <v>514.762546011616</v>
      </c>
      <c r="FJ24" s="364">
        <v>470.19419849949577</v>
      </c>
      <c r="FK24" s="410"/>
      <c r="FL24" s="22">
        <v>3203.0999089999996</v>
      </c>
      <c r="FM24" s="22">
        <v>3291.7990120802929</v>
      </c>
      <c r="FN24" s="22">
        <v>3186.1597411203779</v>
      </c>
      <c r="FO24" s="22">
        <v>3271.6096217655131</v>
      </c>
      <c r="FP24" s="22">
        <v>3185.0219025748356</v>
      </c>
      <c r="FQ24" s="22">
        <v>2767.1746887172581</v>
      </c>
      <c r="FR24" s="22">
        <v>2383.9739980018489</v>
      </c>
      <c r="FS24" s="309">
        <v>2079.6845155497463</v>
      </c>
      <c r="FT24" s="364">
        <v>2411.84570492488</v>
      </c>
      <c r="FU24" s="364">
        <v>2842.3411212374299</v>
      </c>
      <c r="FV24" s="364">
        <v>3386.0864685901333</v>
      </c>
      <c r="FW24" s="364">
        <v>4309.1026449918072</v>
      </c>
      <c r="FX24" s="364">
        <f>'EDE''s'!C24</f>
        <v>4463.61162862943</v>
      </c>
      <c r="FY24" s="414"/>
      <c r="FZ24" s="414"/>
      <c r="GA24" s="414"/>
      <c r="GB24" s="414"/>
      <c r="GC24" s="414"/>
      <c r="GD24" s="414"/>
      <c r="GE24" s="414"/>
      <c r="GF24" s="414"/>
    </row>
    <row r="25" spans="1:188" s="3" customFormat="1" ht="13.8" x14ac:dyDescent="0.3">
      <c r="A25" s="45"/>
      <c r="B25" s="21" t="s">
        <v>19</v>
      </c>
      <c r="C25" s="288">
        <v>5202.1621646110461</v>
      </c>
      <c r="D25" s="288">
        <v>4449.8264934798135</v>
      </c>
      <c r="E25" s="288">
        <v>752.33567113123263</v>
      </c>
      <c r="F25" s="285">
        <v>0.16907078786860694</v>
      </c>
      <c r="G25" s="284"/>
      <c r="H25" s="288">
        <v>3631.0968995467706</v>
      </c>
      <c r="I25" s="288">
        <v>818.72959393304291</v>
      </c>
      <c r="J25" s="285">
        <v>0.22547720883880454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557.00290833781003</v>
      </c>
      <c r="FG25" s="364">
        <v>541.83154133727203</v>
      </c>
      <c r="FH25" s="364">
        <v>439.61734120094314</v>
      </c>
      <c r="FI25" s="364">
        <v>462.10421281181806</v>
      </c>
      <c r="FJ25" s="364">
        <v>416.85634698438099</v>
      </c>
      <c r="FK25" s="410"/>
      <c r="FL25" s="22">
        <v>3901.926024538001</v>
      </c>
      <c r="FM25" s="22">
        <v>4040.9540211848398</v>
      </c>
      <c r="FN25" s="22">
        <v>3744.7731151844246</v>
      </c>
      <c r="FO25" s="22">
        <v>3537.654304097342</v>
      </c>
      <c r="FP25" s="22">
        <v>4075.4352037333142</v>
      </c>
      <c r="FQ25" s="22">
        <v>3625.30524810818</v>
      </c>
      <c r="FR25" s="22">
        <v>3286.1237194170994</v>
      </c>
      <c r="FS25" s="309">
        <v>3569.9443053987511</v>
      </c>
      <c r="FT25" s="364">
        <v>2770.6538502927415</v>
      </c>
      <c r="FU25" s="364">
        <v>3440.1676325529011</v>
      </c>
      <c r="FV25" s="364">
        <v>4026.2843794290966</v>
      </c>
      <c r="FW25" s="364">
        <v>4930.3153381982929</v>
      </c>
      <c r="FX25" s="364">
        <f>'EDE''s'!C25</f>
        <v>5202.1621646110461</v>
      </c>
      <c r="FY25" s="414"/>
      <c r="FZ25" s="414"/>
      <c r="GA25" s="414"/>
      <c r="GB25" s="414"/>
      <c r="GC25" s="414"/>
      <c r="GD25" s="414"/>
      <c r="GE25" s="414"/>
      <c r="GF25" s="414"/>
    </row>
    <row r="26" spans="1:188" s="3" customFormat="1" ht="13.8" x14ac:dyDescent="0.3">
      <c r="A26" s="45"/>
      <c r="B26" s="21" t="s">
        <v>20</v>
      </c>
      <c r="C26" s="288">
        <v>4474.5257040433844</v>
      </c>
      <c r="D26" s="288">
        <v>3498.3042597711424</v>
      </c>
      <c r="E26" s="288">
        <v>976.22144427224202</v>
      </c>
      <c r="F26" s="285">
        <v>0.27905561431529285</v>
      </c>
      <c r="G26" s="284"/>
      <c r="H26" s="288">
        <v>1612.9279733320093</v>
      </c>
      <c r="I26" s="288">
        <v>1885.3762864391331</v>
      </c>
      <c r="J26" s="285">
        <v>1.1689153623793234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364">
        <v>456.72754859219202</v>
      </c>
      <c r="FH26" s="364">
        <v>349.02288114352001</v>
      </c>
      <c r="FI26" s="364">
        <v>371.46557503833799</v>
      </c>
      <c r="FJ26" s="364">
        <v>329.32227299016103</v>
      </c>
      <c r="FK26" s="410"/>
      <c r="FL26" s="22">
        <v>3120.7420050298401</v>
      </c>
      <c r="FM26" s="22">
        <v>2903.6070944226567</v>
      </c>
      <c r="FN26" s="22">
        <v>2954.5326178077266</v>
      </c>
      <c r="FO26" s="22">
        <v>3381.0389039834586</v>
      </c>
      <c r="FP26" s="22">
        <v>3680.1190263071853</v>
      </c>
      <c r="FQ26" s="22">
        <v>3663.29469717653</v>
      </c>
      <c r="FR26" s="22">
        <v>3749.6024500029962</v>
      </c>
      <c r="FS26" s="309">
        <v>3312.5731366016194</v>
      </c>
      <c r="FT26" s="364">
        <v>2280.0734398200234</v>
      </c>
      <c r="FU26" s="364">
        <v>1699.8725597753578</v>
      </c>
      <c r="FV26" s="364">
        <v>1814.4434713265828</v>
      </c>
      <c r="FW26" s="364">
        <v>3918.1254635080031</v>
      </c>
      <c r="FX26" s="364">
        <f>'EDE''s'!C26</f>
        <v>4474.5257040433844</v>
      </c>
      <c r="FY26" s="414"/>
      <c r="FZ26" s="414"/>
      <c r="GA26" s="414"/>
      <c r="GB26" s="414"/>
      <c r="GC26" s="414"/>
      <c r="GD26" s="414"/>
      <c r="GE26" s="414"/>
      <c r="GF26" s="414"/>
    </row>
    <row r="27" spans="1:188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410"/>
      <c r="FL27" s="25"/>
      <c r="FM27" s="25"/>
      <c r="FN27" s="25"/>
      <c r="FO27" s="25"/>
      <c r="FP27" s="25"/>
      <c r="FQ27" s="25"/>
      <c r="FR27" s="25"/>
      <c r="FS27" s="306"/>
      <c r="FT27" s="306"/>
      <c r="FU27" s="306"/>
      <c r="FV27" s="306"/>
      <c r="FW27" s="306"/>
      <c r="FX27" s="306"/>
      <c r="FY27" s="414"/>
      <c r="FZ27" s="414"/>
      <c r="GA27" s="414"/>
      <c r="GB27" s="414"/>
      <c r="GC27" s="414"/>
      <c r="GD27" s="414"/>
      <c r="GE27" s="414"/>
      <c r="GF27" s="414"/>
    </row>
    <row r="28" spans="1:188" s="3" customFormat="1" ht="13.8" x14ac:dyDescent="0.3">
      <c r="A28" s="45"/>
      <c r="B28" s="42" t="s">
        <v>24</v>
      </c>
      <c r="C28" s="290">
        <v>10.682562785590397</v>
      </c>
      <c r="D28" s="290">
        <v>9.557108795345691</v>
      </c>
      <c r="E28" s="290">
        <v>1.125453990244706</v>
      </c>
      <c r="F28" s="289">
        <v>0.11776092690216122</v>
      </c>
      <c r="G28" s="287"/>
      <c r="H28" s="290">
        <v>10.671166290708669</v>
      </c>
      <c r="I28" s="290">
        <v>-1.114057495362978</v>
      </c>
      <c r="J28" s="289">
        <v>-0.10439885060482867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10.576843576315076</v>
      </c>
      <c r="FG28" s="366">
        <v>10.752437313454138</v>
      </c>
      <c r="FH28" s="366">
        <v>11.264036766472815</v>
      </c>
      <c r="FI28" s="366">
        <v>11.516322986903043</v>
      </c>
      <c r="FJ28" s="366">
        <v>12.239638486504433</v>
      </c>
      <c r="FK28" s="410"/>
      <c r="FL28" s="37">
        <v>12.816450679601788</v>
      </c>
      <c r="FM28" s="37">
        <v>13.700596600823165</v>
      </c>
      <c r="FN28" s="37">
        <v>16.907737071810509</v>
      </c>
      <c r="FO28" s="37">
        <v>16.73524799104797</v>
      </c>
      <c r="FP28" s="37">
        <v>15.935542537094285</v>
      </c>
      <c r="FQ28" s="37">
        <v>15.90997638131951</v>
      </c>
      <c r="FR28" s="37">
        <v>11.605560160522893</v>
      </c>
      <c r="FS28" s="311">
        <v>9.9945322174102991</v>
      </c>
      <c r="FT28" s="366">
        <v>10.577582974151754</v>
      </c>
      <c r="FU28" s="366">
        <v>11.106642690420813</v>
      </c>
      <c r="FV28" s="366">
        <v>10.599124847354355</v>
      </c>
      <c r="FW28" s="366">
        <v>9.5732726426087265</v>
      </c>
      <c r="FX28" s="366">
        <f>'EDE''s'!C28</f>
        <v>10.682562785590397</v>
      </c>
      <c r="FY28" s="414"/>
      <c r="FZ28" s="414"/>
      <c r="GA28" s="414"/>
      <c r="GB28" s="414"/>
      <c r="GC28" s="414"/>
      <c r="GD28" s="414"/>
      <c r="GE28" s="414"/>
      <c r="GF28" s="414"/>
    </row>
    <row r="29" spans="1:188" s="3" customFormat="1" ht="13.8" x14ac:dyDescent="0.3">
      <c r="A29" s="45"/>
      <c r="B29" s="21" t="s">
        <v>18</v>
      </c>
      <c r="C29" s="284">
        <v>10.743892893660275</v>
      </c>
      <c r="D29" s="284">
        <v>9.8436250029316508</v>
      </c>
      <c r="E29" s="284">
        <v>0.90026789072862456</v>
      </c>
      <c r="F29" s="285">
        <v>9.1456947055632939E-2</v>
      </c>
      <c r="G29" s="284"/>
      <c r="H29" s="284">
        <v>11.138854298658297</v>
      </c>
      <c r="I29" s="284">
        <v>-1.2952292957266458</v>
      </c>
      <c r="J29" s="285">
        <v>-0.11628029786534325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10.701847410844053</v>
      </c>
      <c r="FG29" s="306">
        <v>10.877305711295007</v>
      </c>
      <c r="FH29" s="306">
        <v>11.01018449827691</v>
      </c>
      <c r="FI29" s="306">
        <v>11.236380333251562</v>
      </c>
      <c r="FJ29" s="306">
        <v>11.966910635526562</v>
      </c>
      <c r="FK29" s="410"/>
      <c r="FL29" s="25">
        <v>13.374010791960817</v>
      </c>
      <c r="FM29" s="25">
        <v>14.72357236020542</v>
      </c>
      <c r="FN29" s="25">
        <v>19.262222017041015</v>
      </c>
      <c r="FO29" s="25">
        <v>19.599548248796602</v>
      </c>
      <c r="FP29" s="25">
        <v>17.789224559494919</v>
      </c>
      <c r="FQ29" s="25">
        <v>17.601568550114287</v>
      </c>
      <c r="FR29" s="25">
        <v>12.993527007958663</v>
      </c>
      <c r="FS29" s="306">
        <v>10.999568638993805</v>
      </c>
      <c r="FT29" s="306">
        <v>11.013411547260432</v>
      </c>
      <c r="FU29" s="306">
        <v>11.668935451824332</v>
      </c>
      <c r="FV29" s="306">
        <v>11.076389890945345</v>
      </c>
      <c r="FW29" s="306">
        <v>9.8650334508453827</v>
      </c>
      <c r="FX29" s="306">
        <f>'EDE''s'!C29</f>
        <v>10.743892893660275</v>
      </c>
      <c r="FY29" s="414"/>
      <c r="FZ29" s="414"/>
      <c r="GA29" s="414"/>
      <c r="GB29" s="414"/>
      <c r="GC29" s="414"/>
      <c r="GD29" s="414"/>
      <c r="GE29" s="414"/>
      <c r="GF29" s="414"/>
    </row>
    <row r="30" spans="1:188" s="3" customFormat="1" ht="13.8" x14ac:dyDescent="0.3">
      <c r="A30" s="45"/>
      <c r="B30" s="21" t="s">
        <v>19</v>
      </c>
      <c r="C30" s="284">
        <v>10.877030092109765</v>
      </c>
      <c r="D30" s="284">
        <v>9.840830912280401</v>
      </c>
      <c r="E30" s="284">
        <v>1.0361991798293637</v>
      </c>
      <c r="F30" s="285">
        <v>0.10529590326933549</v>
      </c>
      <c r="G30" s="284"/>
      <c r="H30" s="284">
        <v>10.866751327543737</v>
      </c>
      <c r="I30" s="284">
        <v>-1.0259204152633359</v>
      </c>
      <c r="J30" s="285">
        <v>-9.4409118635387923E-2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</v>
      </c>
      <c r="FG30" s="306">
        <v>10.918478477966499</v>
      </c>
      <c r="FH30" s="306">
        <v>11.587667474686675</v>
      </c>
      <c r="FI30" s="306">
        <v>11.87171304463368</v>
      </c>
      <c r="FJ30" s="306">
        <v>12.597645219234774</v>
      </c>
      <c r="FK30" s="410"/>
      <c r="FL30" s="25">
        <v>13.479947897655089</v>
      </c>
      <c r="FM30" s="25">
        <v>14.913995341559133</v>
      </c>
      <c r="FN30" s="25">
        <v>18.569886517095412</v>
      </c>
      <c r="FO30" s="25">
        <v>19.044913469429702</v>
      </c>
      <c r="FP30" s="25">
        <v>17.560425312320106</v>
      </c>
      <c r="FQ30" s="25">
        <v>17.704673357502941</v>
      </c>
      <c r="FR30" s="25">
        <v>12.541863360348938</v>
      </c>
      <c r="FS30" s="306">
        <v>10.469340667815493</v>
      </c>
      <c r="FT30" s="306">
        <v>11.011647568945437</v>
      </c>
      <c r="FU30" s="306">
        <v>11.374979056393705</v>
      </c>
      <c r="FV30" s="306">
        <v>10.780832206808862</v>
      </c>
      <c r="FW30" s="306">
        <v>9.8537521059587831</v>
      </c>
      <c r="FX30" s="306">
        <f>'EDE''s'!C30</f>
        <v>10.877030092109765</v>
      </c>
      <c r="FY30" s="414"/>
      <c r="FZ30" s="414"/>
      <c r="GA30" s="414"/>
      <c r="GB30" s="414"/>
      <c r="GC30" s="414"/>
      <c r="GD30" s="414"/>
      <c r="GE30" s="414"/>
      <c r="GF30" s="414"/>
    </row>
    <row r="31" spans="1:188" s="3" customFormat="1" ht="13.8" x14ac:dyDescent="0.3">
      <c r="A31" s="45"/>
      <c r="B31" s="21" t="s">
        <v>20</v>
      </c>
      <c r="C31" s="284">
        <v>10.395291165576429</v>
      </c>
      <c r="D31" s="284">
        <v>8.879544674245615</v>
      </c>
      <c r="E31" s="284">
        <v>1.5157464913308143</v>
      </c>
      <c r="F31" s="285">
        <v>0.17070092520927471</v>
      </c>
      <c r="G31" s="284"/>
      <c r="H31" s="284">
        <v>9.336969073583882</v>
      </c>
      <c r="I31" s="284">
        <v>-0.45742439933826695</v>
      </c>
      <c r="J31" s="285">
        <v>-4.8990673068888102E-2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306">
        <v>10.440756960675115</v>
      </c>
      <c r="FH31" s="306">
        <v>11.219910652429055</v>
      </c>
      <c r="FI31" s="306">
        <v>11.462150403788707</v>
      </c>
      <c r="FJ31" s="306">
        <v>12.175864101273643</v>
      </c>
      <c r="FK31" s="410"/>
      <c r="FL31" s="25">
        <v>11.414592467535922</v>
      </c>
      <c r="FM31" s="25">
        <v>10.852167441560914</v>
      </c>
      <c r="FN31" s="25">
        <v>12.261947204080469</v>
      </c>
      <c r="FO31" s="25">
        <v>11.546999407800124</v>
      </c>
      <c r="FP31" s="25">
        <v>12.531815044502901</v>
      </c>
      <c r="FQ31" s="25">
        <v>12.856098294944024</v>
      </c>
      <c r="FR31" s="25">
        <v>9.9025302758787568</v>
      </c>
      <c r="FS31" s="306">
        <v>8.8518560405778004</v>
      </c>
      <c r="FT31" s="306">
        <v>9.5891086673090413</v>
      </c>
      <c r="FU31" s="306">
        <v>9.6233844871697638</v>
      </c>
      <c r="FV31" s="306">
        <v>9.3052481043566448</v>
      </c>
      <c r="FW31" s="306">
        <v>8.8994607661717176</v>
      </c>
      <c r="FX31" s="306">
        <f>'EDE''s'!C31</f>
        <v>10.395291165576429</v>
      </c>
      <c r="FY31" s="414"/>
      <c r="FZ31" s="414"/>
      <c r="GA31" s="414"/>
      <c r="GB31" s="414"/>
      <c r="GC31" s="414"/>
      <c r="GD31" s="414"/>
      <c r="GE31" s="414"/>
      <c r="GF31" s="414"/>
    </row>
    <row r="32" spans="1:188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306"/>
      <c r="FJ32" s="306"/>
      <c r="FK32" s="410"/>
      <c r="FL32" s="25"/>
      <c r="FM32" s="25"/>
      <c r="FN32" s="25"/>
      <c r="FO32" s="25"/>
      <c r="FP32" s="25"/>
      <c r="FQ32" s="25"/>
      <c r="FR32" s="25"/>
      <c r="FS32" s="306"/>
      <c r="FT32" s="306"/>
      <c r="FU32" s="306"/>
      <c r="FV32" s="306"/>
      <c r="FW32" s="306"/>
      <c r="FX32" s="306"/>
      <c r="FY32" s="414"/>
      <c r="FZ32" s="414"/>
      <c r="GA32" s="414"/>
      <c r="GB32" s="414"/>
      <c r="GC32" s="414"/>
      <c r="GD32" s="414"/>
      <c r="GE32" s="414"/>
      <c r="GF32" s="414"/>
    </row>
    <row r="33" spans="1:188" s="3" customFormat="1" ht="13.8" x14ac:dyDescent="0.3">
      <c r="A33" s="45"/>
      <c r="B33" s="42" t="s">
        <v>25</v>
      </c>
      <c r="C33" s="286">
        <v>1510.5463718678716</v>
      </c>
      <c r="D33" s="286">
        <v>1129.1358946042617</v>
      </c>
      <c r="E33" s="286">
        <v>381.41047726360989</v>
      </c>
      <c r="F33" s="289">
        <v>0.33778970191828522</v>
      </c>
      <c r="G33" s="287"/>
      <c r="H33" s="286">
        <v>888.56640874901643</v>
      </c>
      <c r="I33" s="286">
        <v>240.56948585524526</v>
      </c>
      <c r="J33" s="289">
        <v>0.27073889299274229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158.41325575880413</v>
      </c>
      <c r="FG33" s="362">
        <v>152.479678141048</v>
      </c>
      <c r="FH33" s="362">
        <v>145.12917537040431</v>
      </c>
      <c r="FI33" s="362">
        <v>155.27830650436954</v>
      </c>
      <c r="FJ33" s="362">
        <v>148.87963562932703</v>
      </c>
      <c r="FK33" s="410"/>
      <c r="FL33" s="28">
        <v>1310.5805044570798</v>
      </c>
      <c r="FM33" s="28">
        <v>1402.442407702011</v>
      </c>
      <c r="FN33" s="28">
        <v>1671.4085106875525</v>
      </c>
      <c r="FO33" s="28">
        <v>1705.3724496135596</v>
      </c>
      <c r="FP33" s="28">
        <v>1743.4401634161018</v>
      </c>
      <c r="FQ33" s="28">
        <v>1599.8713692284314</v>
      </c>
      <c r="FR33" s="28">
        <v>1093.2089698710295</v>
      </c>
      <c r="FS33" s="308">
        <v>895.73016203672285</v>
      </c>
      <c r="FT33" s="362">
        <v>789.35985055674848</v>
      </c>
      <c r="FU33" s="362">
        <v>886.57457068466056</v>
      </c>
      <c r="FV33" s="362">
        <v>977.96156914103176</v>
      </c>
      <c r="FW33" s="362">
        <v>1259.6075072221067</v>
      </c>
      <c r="FX33" s="362">
        <f>'EDE''s'!C33</f>
        <v>1510.5463718678716</v>
      </c>
      <c r="FY33" s="414"/>
      <c r="FZ33" s="414"/>
      <c r="GA33" s="414"/>
      <c r="GB33" s="414"/>
      <c r="GC33" s="414"/>
      <c r="GD33" s="414"/>
      <c r="GE33" s="414"/>
      <c r="GF33" s="414"/>
    </row>
    <row r="34" spans="1:188" s="3" customFormat="1" ht="13.8" x14ac:dyDescent="0.3">
      <c r="A34" s="45"/>
      <c r="B34" s="21" t="s">
        <v>18</v>
      </c>
      <c r="C34" s="288">
        <v>479.56565256891105</v>
      </c>
      <c r="D34" s="288">
        <v>380.60250390364115</v>
      </c>
      <c r="E34" s="288">
        <v>98.963148665269898</v>
      </c>
      <c r="F34" s="285">
        <v>0.26001707201149904</v>
      </c>
      <c r="G34" s="284"/>
      <c r="H34" s="288">
        <v>343.38555216392513</v>
      </c>
      <c r="I34" s="288">
        <v>37.216951739716023</v>
      </c>
      <c r="J34" s="285">
        <v>0.10838240428342025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364">
        <v>45.634104592343689</v>
      </c>
      <c r="FH34" s="364">
        <v>55.027724290143695</v>
      </c>
      <c r="FI34" s="364">
        <v>57.840677482994245</v>
      </c>
      <c r="FJ34" s="364">
        <v>56.267719547865035</v>
      </c>
      <c r="FK34" s="410"/>
      <c r="FL34" s="22">
        <v>428.38292750694706</v>
      </c>
      <c r="FM34" s="22">
        <v>484.6704094961691</v>
      </c>
      <c r="FN34" s="22">
        <v>613.72516315218638</v>
      </c>
      <c r="FO34" s="22">
        <v>641.22070633020371</v>
      </c>
      <c r="FP34" s="22">
        <v>566.59069851813501</v>
      </c>
      <c r="FQ34" s="22">
        <v>487.06614973597988</v>
      </c>
      <c r="FR34" s="22">
        <v>309.76230529308219</v>
      </c>
      <c r="FS34" s="309">
        <v>228.75632576242012</v>
      </c>
      <c r="FT34" s="364">
        <v>265.62649336830151</v>
      </c>
      <c r="FU34" s="364">
        <v>331.67095075785568</v>
      </c>
      <c r="FV34" s="364">
        <v>375.05613930558576</v>
      </c>
      <c r="FW34" s="364">
        <v>425.09441735970495</v>
      </c>
      <c r="FX34" s="364">
        <f>'EDE''s'!C34</f>
        <v>479.56565256891105</v>
      </c>
      <c r="FY34" s="414"/>
      <c r="FZ34" s="414"/>
      <c r="GA34" s="414"/>
      <c r="GB34" s="414"/>
      <c r="GC34" s="414"/>
      <c r="GD34" s="414"/>
      <c r="GE34" s="414"/>
      <c r="GF34" s="414"/>
    </row>
    <row r="35" spans="1:188" s="3" customFormat="1" ht="13.8" x14ac:dyDescent="0.3">
      <c r="A35" s="45"/>
      <c r="B35" s="21" t="s">
        <v>19</v>
      </c>
      <c r="C35" s="288">
        <v>565.84074408509218</v>
      </c>
      <c r="D35" s="288">
        <v>437.89990111320446</v>
      </c>
      <c r="E35" s="288">
        <v>127.94084297188772</v>
      </c>
      <c r="F35" s="285">
        <v>0.29216915246302572</v>
      </c>
      <c r="G35" s="284"/>
      <c r="H35" s="288">
        <v>394.58227053589815</v>
      </c>
      <c r="I35" s="288">
        <v>43.317630577306318</v>
      </c>
      <c r="J35" s="285">
        <v>0.10978098564457772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59.643298583079002</v>
      </c>
      <c r="FG35" s="364">
        <v>59.159760227744201</v>
      </c>
      <c r="FH35" s="364">
        <v>50.941395659424039</v>
      </c>
      <c r="FI35" s="364">
        <v>54.859686112182388</v>
      </c>
      <c r="FJ35" s="364">
        <v>52.514083666954598</v>
      </c>
      <c r="FK35" s="410"/>
      <c r="FL35" s="22">
        <v>525.97759511276706</v>
      </c>
      <c r="FM35" s="22">
        <v>602.66769447405352</v>
      </c>
      <c r="FN35" s="22">
        <v>695.4001178124463</v>
      </c>
      <c r="FO35" s="22">
        <v>673.74320106289429</v>
      </c>
      <c r="FP35" s="22">
        <v>715.66375510358932</v>
      </c>
      <c r="FQ35" s="22">
        <v>641.84845238996479</v>
      </c>
      <c r="FR35" s="22">
        <v>412.14114674130894</v>
      </c>
      <c r="FS35" s="309">
        <v>373.74963098347473</v>
      </c>
      <c r="FT35" s="364">
        <v>305.09463734965379</v>
      </c>
      <c r="FU35" s="364">
        <v>391.31834770772764</v>
      </c>
      <c r="FV35" s="364">
        <v>434.06696311520636</v>
      </c>
      <c r="FW35" s="364">
        <v>485.82105146812324</v>
      </c>
      <c r="FX35" s="364">
        <f>'EDE''s'!C35</f>
        <v>565.84074408509218</v>
      </c>
      <c r="FY35" s="414"/>
      <c r="FZ35" s="414"/>
      <c r="GA35" s="414"/>
      <c r="GB35" s="414"/>
      <c r="GC35" s="414"/>
      <c r="GD35" s="414"/>
      <c r="GE35" s="414"/>
      <c r="GF35" s="414"/>
    </row>
    <row r="36" spans="1:188" s="3" customFormat="1" ht="13.8" x14ac:dyDescent="0.3">
      <c r="A36" s="45"/>
      <c r="B36" s="21" t="s">
        <v>20</v>
      </c>
      <c r="C36" s="288">
        <v>465.13997521386847</v>
      </c>
      <c r="D36" s="288">
        <v>310.63348958741597</v>
      </c>
      <c r="E36" s="288">
        <v>154.5064856264525</v>
      </c>
      <c r="F36" s="285">
        <v>0.49739159107303055</v>
      </c>
      <c r="G36" s="284"/>
      <c r="H36" s="288">
        <v>150.59858604919299</v>
      </c>
      <c r="I36" s="288">
        <v>160.03490353822298</v>
      </c>
      <c r="J36" s="285">
        <v>1.0626587389469089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364">
        <v>47.685813320960101</v>
      </c>
      <c r="FH36" s="364">
        <v>39.160055420836599</v>
      </c>
      <c r="FI36" s="364">
        <v>42.577942909192899</v>
      </c>
      <c r="FJ36" s="364">
        <v>40.097832414507401</v>
      </c>
      <c r="FK36" s="410"/>
      <c r="FL36" s="22">
        <v>356.21998183736565</v>
      </c>
      <c r="FM36" s="22">
        <v>315.10430373178838</v>
      </c>
      <c r="FN36" s="22">
        <v>362.28322972292</v>
      </c>
      <c r="FO36" s="22">
        <v>390.40854222046175</v>
      </c>
      <c r="FP36" s="22">
        <v>461.18570979437749</v>
      </c>
      <c r="FQ36" s="22">
        <v>470.95676710248671</v>
      </c>
      <c r="FR36" s="22">
        <v>371.30551783663833</v>
      </c>
      <c r="FS36" s="309">
        <v>293.22420529082797</v>
      </c>
      <c r="FT36" s="364">
        <v>218.63871983879326</v>
      </c>
      <c r="FU36" s="364">
        <v>163.58527221907735</v>
      </c>
      <c r="FV36" s="364">
        <v>168.83846672023975</v>
      </c>
      <c r="FW36" s="364">
        <v>348.69203839427854</v>
      </c>
      <c r="FX36" s="364">
        <f>'EDE''s'!C36</f>
        <v>465.13997521386847</v>
      </c>
      <c r="FY36" s="414"/>
      <c r="FZ36" s="414"/>
      <c r="GA36" s="414"/>
      <c r="GB36" s="414"/>
      <c r="GC36" s="414"/>
      <c r="GD36" s="414"/>
      <c r="GE36" s="414"/>
      <c r="GF36" s="414"/>
    </row>
    <row r="37" spans="1:188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306"/>
      <c r="FJ37" s="306"/>
      <c r="FK37" s="410"/>
      <c r="FL37" s="25"/>
      <c r="FM37" s="25"/>
      <c r="FN37" s="25"/>
      <c r="FO37" s="25"/>
      <c r="FP37" s="25"/>
      <c r="FQ37" s="25"/>
      <c r="FR37" s="25"/>
      <c r="FS37" s="306"/>
      <c r="FT37" s="306"/>
      <c r="FU37" s="306"/>
      <c r="FV37" s="306"/>
      <c r="FW37" s="306"/>
      <c r="FX37" s="306"/>
      <c r="FY37" s="414"/>
      <c r="FZ37" s="414"/>
      <c r="GA37" s="414"/>
      <c r="GB37" s="414"/>
      <c r="GC37" s="414"/>
      <c r="GD37" s="414"/>
      <c r="GE37" s="414"/>
      <c r="GF37" s="414"/>
    </row>
    <row r="38" spans="1:188" s="3" customFormat="1" ht="13.8" x14ac:dyDescent="0.3">
      <c r="A38" s="45"/>
      <c r="B38" s="42" t="s">
        <v>26</v>
      </c>
      <c r="C38" s="286">
        <v>1108.495977867379</v>
      </c>
      <c r="D38" s="286">
        <v>2579.7138834934403</v>
      </c>
      <c r="E38" s="286">
        <v>-1471.2179056260613</v>
      </c>
      <c r="F38" s="289">
        <v>-0.57030274366463563</v>
      </c>
      <c r="G38" s="287"/>
      <c r="H38" s="286">
        <v>5590.1166447270862</v>
      </c>
      <c r="I38" s="286">
        <v>-3010.4027612336458</v>
      </c>
      <c r="J38" s="289">
        <v>-0.53852235159944795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2.7612006155145288</v>
      </c>
      <c r="FG38" s="362">
        <v>78.458082036620823</v>
      </c>
      <c r="FH38" s="362">
        <v>239.46028019181787</v>
      </c>
      <c r="FI38" s="362">
        <v>142.3486206813316</v>
      </c>
      <c r="FJ38" s="362">
        <v>207.46434106528108</v>
      </c>
      <c r="FK38" s="410"/>
      <c r="FL38" s="28">
        <v>0</v>
      </c>
      <c r="FM38" s="28">
        <v>855.38368102177242</v>
      </c>
      <c r="FN38" s="28">
        <v>1237.2773595397045</v>
      </c>
      <c r="FO38" s="28">
        <v>1357.8336347314105</v>
      </c>
      <c r="FP38" s="28">
        <v>1009.4064931979793</v>
      </c>
      <c r="FQ38" s="28">
        <v>2372.2180635464288</v>
      </c>
      <c r="FR38" s="28">
        <v>3657.9981611015278</v>
      </c>
      <c r="FS38" s="308">
        <v>4583.4303559322598</v>
      </c>
      <c r="FT38" s="362">
        <v>6285.9444588385086</v>
      </c>
      <c r="FU38" s="362">
        <v>6321.117242683682</v>
      </c>
      <c r="FV38" s="362">
        <v>5923.3513218807757</v>
      </c>
      <c r="FW38" s="362">
        <v>2519.825989336372</v>
      </c>
      <c r="FX38" s="362">
        <f>'EDE''s'!C38</f>
        <v>1108.495977867379</v>
      </c>
      <c r="FY38" s="414"/>
      <c r="FZ38" s="414"/>
      <c r="GA38" s="414"/>
      <c r="GB38" s="414"/>
      <c r="GC38" s="414"/>
      <c r="GD38" s="414"/>
      <c r="GE38" s="414"/>
      <c r="GF38" s="414"/>
    </row>
    <row r="39" spans="1:188" s="3" customFormat="1" ht="13.8" x14ac:dyDescent="0.3">
      <c r="A39" s="45"/>
      <c r="B39" s="21" t="s">
        <v>18</v>
      </c>
      <c r="C39" s="288">
        <v>120.43614289504947</v>
      </c>
      <c r="D39" s="288">
        <v>398.42538404157767</v>
      </c>
      <c r="E39" s="288">
        <v>-277.98924114652823</v>
      </c>
      <c r="F39" s="285">
        <v>-0.69771970431863517</v>
      </c>
      <c r="G39" s="284"/>
      <c r="H39" s="288">
        <v>991.30460053253103</v>
      </c>
      <c r="I39" s="288">
        <v>-592.87921649095335</v>
      </c>
      <c r="J39" s="285">
        <v>-0.59807975890806653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5.8312565882714393</v>
      </c>
      <c r="FG39" s="364">
        <v>44.531722323088523</v>
      </c>
      <c r="FH39" s="364">
        <v>-41.479468341717599</v>
      </c>
      <c r="FI39" s="364">
        <v>-67.36536388481403</v>
      </c>
      <c r="FJ39" s="364">
        <v>-46.124099452546716</v>
      </c>
      <c r="FK39" s="410"/>
      <c r="FL39" s="22">
        <v>0</v>
      </c>
      <c r="FM39" s="22">
        <v>96.360227464147385</v>
      </c>
      <c r="FN39" s="22">
        <v>232.92950882068203</v>
      </c>
      <c r="FO39" s="22">
        <v>271.20781706369536</v>
      </c>
      <c r="FP39" s="22">
        <v>507.57386031816202</v>
      </c>
      <c r="FQ39" s="22">
        <v>1022.0947243530427</v>
      </c>
      <c r="FR39" s="22">
        <v>1580.2804950683449</v>
      </c>
      <c r="FS39" s="309">
        <v>1990.267683562987</v>
      </c>
      <c r="FT39" s="364">
        <v>1662.3718155539664</v>
      </c>
      <c r="FU39" s="364">
        <v>1388.5620183513654</v>
      </c>
      <c r="FV39" s="364">
        <v>1046.5432402598619</v>
      </c>
      <c r="FW39" s="364">
        <v>331.41389763865686</v>
      </c>
      <c r="FX39" s="364">
        <f>'EDE''s'!C39</f>
        <v>120.43614289504947</v>
      </c>
      <c r="FY39" s="414"/>
      <c r="FZ39" s="414"/>
      <c r="GA39" s="414"/>
      <c r="GB39" s="414"/>
      <c r="GC39" s="414"/>
      <c r="GD39" s="414"/>
      <c r="GE39" s="414"/>
      <c r="GF39" s="414"/>
    </row>
    <row r="40" spans="1:188" s="3" customFormat="1" ht="13.8" x14ac:dyDescent="0.3">
      <c r="A40" s="45"/>
      <c r="B40" s="21" t="s">
        <v>19</v>
      </c>
      <c r="C40" s="288">
        <v>135.88526754138002</v>
      </c>
      <c r="D40" s="288">
        <v>646.47293618374533</v>
      </c>
      <c r="E40" s="288">
        <v>-510.58766864236532</v>
      </c>
      <c r="F40" s="285">
        <v>-0.78980517213367507</v>
      </c>
      <c r="G40" s="284"/>
      <c r="H40" s="288">
        <v>1374.5683389551593</v>
      </c>
      <c r="I40" s="288">
        <v>-728.095402771414</v>
      </c>
      <c r="J40" s="285">
        <v>-0.52969021774854486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-35.877175836237001</v>
      </c>
      <c r="FG40" s="364">
        <v>-20.745620059671701</v>
      </c>
      <c r="FH40" s="364">
        <v>97.885717919056489</v>
      </c>
      <c r="FI40" s="364">
        <v>60.042638786982621</v>
      </c>
      <c r="FJ40" s="364">
        <v>86.685383001492795</v>
      </c>
      <c r="FK40" s="410"/>
      <c r="FL40" s="22">
        <v>0</v>
      </c>
      <c r="FM40" s="22">
        <v>88.532981236236751</v>
      </c>
      <c r="FN40" s="22">
        <v>411.03938363659199</v>
      </c>
      <c r="FO40" s="22">
        <v>726.96687973315409</v>
      </c>
      <c r="FP40" s="22">
        <v>304.62401080157269</v>
      </c>
      <c r="FQ40" s="22">
        <v>889.21997157089106</v>
      </c>
      <c r="FR40" s="22">
        <v>1405.0664142202734</v>
      </c>
      <c r="FS40" s="309">
        <v>1404.9161741739854</v>
      </c>
      <c r="FT40" s="364">
        <v>2235.8540810954955</v>
      </c>
      <c r="FU40" s="364">
        <v>1613.0578847599254</v>
      </c>
      <c r="FV40" s="364">
        <v>1430.1022975888336</v>
      </c>
      <c r="FW40" s="364">
        <v>618.19954304599878</v>
      </c>
      <c r="FX40" s="364">
        <f>'EDE''s'!C40</f>
        <v>135.88526754138002</v>
      </c>
      <c r="FY40" s="414"/>
      <c r="FZ40" s="414"/>
      <c r="GA40" s="414"/>
      <c r="GB40" s="414"/>
      <c r="GC40" s="414"/>
      <c r="GD40" s="414"/>
      <c r="GE40" s="414"/>
      <c r="GF40" s="414"/>
    </row>
    <row r="41" spans="1:188" s="3" customFormat="1" ht="13.8" x14ac:dyDescent="0.3">
      <c r="A41" s="45"/>
      <c r="B41" s="21" t="s">
        <v>20</v>
      </c>
      <c r="C41" s="288">
        <v>852.17456743094942</v>
      </c>
      <c r="D41" s="288">
        <v>1534.8155632681176</v>
      </c>
      <c r="E41" s="288">
        <v>-682.64099583716813</v>
      </c>
      <c r="F41" s="285">
        <v>-0.44477070220972037</v>
      </c>
      <c r="G41" s="284"/>
      <c r="H41" s="288">
        <v>3224.2437052393948</v>
      </c>
      <c r="I41" s="288">
        <v>-1689.4281419712772</v>
      </c>
      <c r="J41" s="285">
        <v>-0.52397656517897739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364">
        <v>54.671979773204001</v>
      </c>
      <c r="FH41" s="364">
        <v>183.05403061447899</v>
      </c>
      <c r="FI41" s="364">
        <v>149.671345779163</v>
      </c>
      <c r="FJ41" s="364">
        <v>166.903057516335</v>
      </c>
      <c r="FK41" s="410"/>
      <c r="FL41" s="22">
        <v>0</v>
      </c>
      <c r="FM41" s="22">
        <v>670.49047232138821</v>
      </c>
      <c r="FN41" s="22">
        <v>593.30846708243052</v>
      </c>
      <c r="FO41" s="22">
        <v>359.65893793456092</v>
      </c>
      <c r="FP41" s="22">
        <v>197.20862207824462</v>
      </c>
      <c r="FQ41" s="22">
        <v>460.90336762249484</v>
      </c>
      <c r="FR41" s="22">
        <v>672.65125181290989</v>
      </c>
      <c r="FS41" s="309">
        <v>1188.2464981952876</v>
      </c>
      <c r="FT41" s="364">
        <v>2387.7185621890467</v>
      </c>
      <c r="FU41" s="364">
        <v>3319.4973395723905</v>
      </c>
      <c r="FV41" s="364">
        <v>3446.7057840320804</v>
      </c>
      <c r="FW41" s="364">
        <v>1570.2125486517164</v>
      </c>
      <c r="FX41" s="364">
        <f>'EDE''s'!C41</f>
        <v>852.17456743094942</v>
      </c>
      <c r="FY41" s="414"/>
      <c r="FZ41" s="414"/>
      <c r="GA41" s="414"/>
      <c r="GB41" s="414"/>
      <c r="GC41" s="414"/>
      <c r="GD41" s="414"/>
      <c r="GE41" s="414"/>
      <c r="GF41" s="414"/>
    </row>
    <row r="42" spans="1:188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306"/>
      <c r="FJ42" s="306"/>
      <c r="FK42" s="410"/>
      <c r="FL42" s="25"/>
      <c r="FM42" s="25"/>
      <c r="FN42" s="25"/>
      <c r="FO42" s="25"/>
      <c r="FP42" s="25"/>
      <c r="FQ42" s="25"/>
      <c r="FR42" s="25"/>
      <c r="FS42" s="306"/>
      <c r="FT42" s="306"/>
      <c r="FU42" s="306"/>
      <c r="FV42" s="306"/>
      <c r="FW42" s="306"/>
      <c r="FX42" s="306"/>
      <c r="FY42" s="414"/>
      <c r="FZ42" s="414"/>
      <c r="GA42" s="414"/>
      <c r="GB42" s="414"/>
      <c r="GC42" s="414"/>
      <c r="GD42" s="414"/>
      <c r="GE42" s="414"/>
      <c r="GF42" s="414"/>
    </row>
    <row r="43" spans="1:188" s="3" customFormat="1" ht="13.8" x14ac:dyDescent="0.3">
      <c r="A43" s="45"/>
      <c r="B43" s="42" t="s">
        <v>27</v>
      </c>
      <c r="C43" s="290">
        <v>34.315899520175357</v>
      </c>
      <c r="D43" s="290">
        <v>16.877173554077014</v>
      </c>
      <c r="E43" s="290">
        <v>17.438725966098342</v>
      </c>
      <c r="F43" s="289">
        <v>1.0332728943162213</v>
      </c>
      <c r="G43" s="287"/>
      <c r="H43" s="290">
        <v>16.61269610799642</v>
      </c>
      <c r="I43" s="290">
        <v>0.26447744608059409</v>
      </c>
      <c r="J43" s="289">
        <v>1.5920200090416961E-2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856.41183896329699</v>
      </c>
      <c r="FG43" s="366">
        <v>45.510855067978291</v>
      </c>
      <c r="FH43" s="366">
        <v>22.648526623168003</v>
      </c>
      <c r="FI43" s="366">
        <v>27.191395520097878</v>
      </c>
      <c r="FJ43" s="366">
        <v>23.258902334266285</v>
      </c>
      <c r="FK43" s="410"/>
      <c r="FL43" s="37">
        <v>0</v>
      </c>
      <c r="FM43" s="37">
        <v>21.261442546446251</v>
      </c>
      <c r="FN43" s="37">
        <v>26.243840616210086</v>
      </c>
      <c r="FO43" s="37">
        <v>24.91930222991688</v>
      </c>
      <c r="FP43" s="37">
        <v>22.582464833744538</v>
      </c>
      <c r="FQ43" s="37">
        <v>18.340532612246864</v>
      </c>
      <c r="FR43" s="37">
        <v>14.091410960768815</v>
      </c>
      <c r="FS43" s="311">
        <v>11.149685088882972</v>
      </c>
      <c r="FT43" s="366">
        <v>12.772828906399791</v>
      </c>
      <c r="FU43" s="366">
        <v>16.150418763192224</v>
      </c>
      <c r="FV43" s="366">
        <v>16.446383313621507</v>
      </c>
      <c r="FW43" s="366">
        <v>18.0777282912217</v>
      </c>
      <c r="FX43" s="366">
        <f>'EDE''s'!C43</f>
        <v>34.315899520175357</v>
      </c>
      <c r="FY43" s="414"/>
      <c r="FZ43" s="414"/>
      <c r="GA43" s="414"/>
      <c r="GB43" s="414"/>
      <c r="GC43" s="414"/>
      <c r="GD43" s="414"/>
      <c r="GE43" s="414"/>
      <c r="GF43" s="414"/>
    </row>
    <row r="44" spans="1:188" ht="13.8" x14ac:dyDescent="0.3">
      <c r="A44" s="45"/>
      <c r="B44" s="21" t="s">
        <v>18</v>
      </c>
      <c r="C44" s="284">
        <v>80.38617892462166</v>
      </c>
      <c r="D44" s="284">
        <v>28.031687034387282</v>
      </c>
      <c r="E44" s="284">
        <v>52.354491890234378</v>
      </c>
      <c r="F44" s="285">
        <v>1.8676896551395428</v>
      </c>
      <c r="G44" s="284"/>
      <c r="H44" s="284">
        <v>20.481792323630007</v>
      </c>
      <c r="I44" s="284">
        <v>7.5498947107572754</v>
      </c>
      <c r="J44" s="285">
        <v>0.36861494304123482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149.7894386746193</v>
      </c>
      <c r="FG44" s="306">
        <v>33.21919123111951</v>
      </c>
      <c r="FH44" s="306">
        <v>-9.1374329514389849</v>
      </c>
      <c r="FI44" s="306">
        <v>-0.52559131581070118</v>
      </c>
      <c r="FJ44" s="306">
        <v>-4.6219298590579205</v>
      </c>
      <c r="FK44" s="410"/>
      <c r="FL44" s="25">
        <v>0</v>
      </c>
      <c r="FM44" s="25">
        <v>34.068584588289013</v>
      </c>
      <c r="FN44" s="25">
        <v>29.114299679129523</v>
      </c>
      <c r="FO44" s="25">
        <v>27.358667463206881</v>
      </c>
      <c r="FP44" s="25">
        <v>21.043982255092867</v>
      </c>
      <c r="FQ44" s="25">
        <v>19.48204980036969</v>
      </c>
      <c r="FR44" s="25">
        <v>14.256593845086876</v>
      </c>
      <c r="FS44" s="306">
        <v>10.974077013256879</v>
      </c>
      <c r="FT44" s="306">
        <v>13.894077629012406</v>
      </c>
      <c r="FU44" s="306">
        <v>17.761308878390238</v>
      </c>
      <c r="FV44" s="306">
        <v>20.478283025139994</v>
      </c>
      <c r="FW44" s="306">
        <v>34.839327815390916</v>
      </c>
      <c r="FX44" s="306">
        <f>'EDE''s'!C44</f>
        <v>80.38617892462166</v>
      </c>
      <c r="FY44" s="414"/>
      <c r="FZ44" s="414"/>
      <c r="GA44" s="414"/>
      <c r="GB44" s="414"/>
      <c r="GC44" s="414"/>
      <c r="GD44" s="414"/>
      <c r="GE44" s="414"/>
      <c r="GF44" s="414"/>
    </row>
    <row r="45" spans="1:188" ht="13.8" x14ac:dyDescent="0.3">
      <c r="A45" s="45"/>
      <c r="B45" s="21" t="s">
        <v>19</v>
      </c>
      <c r="C45" s="284">
        <v>77.589793512966992</v>
      </c>
      <c r="D45" s="284">
        <v>18.981992691870349</v>
      </c>
      <c r="E45" s="284">
        <v>58.607800821096646</v>
      </c>
      <c r="F45" s="285">
        <v>3.0875473282737764</v>
      </c>
      <c r="G45" s="284"/>
      <c r="H45" s="284">
        <v>16.763642551992618</v>
      </c>
      <c r="I45" s="284">
        <v>2.2183501398777317</v>
      </c>
      <c r="J45" s="285">
        <v>0.13233103324635412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-11.536873562132733</v>
      </c>
      <c r="FG45" s="306">
        <v>-36.772298525394007</v>
      </c>
      <c r="FH45" s="306">
        <v>20.271841766176653</v>
      </c>
      <c r="FI45" s="306">
        <v>23.059432265994097</v>
      </c>
      <c r="FJ45" s="306">
        <v>20.530438581506203</v>
      </c>
      <c r="FK45" s="410"/>
      <c r="FL45" s="25">
        <v>0</v>
      </c>
      <c r="FM45" s="25">
        <v>28.877657862161783</v>
      </c>
      <c r="FN45" s="25">
        <v>27.402172312013061</v>
      </c>
      <c r="FO45" s="25">
        <v>23.843147499902763</v>
      </c>
      <c r="FP45" s="25">
        <v>23.406814441193948</v>
      </c>
      <c r="FQ45" s="25">
        <v>17.67200397392169</v>
      </c>
      <c r="FR45" s="25">
        <v>14.078970149593955</v>
      </c>
      <c r="FS45" s="306">
        <v>11.836925426122789</v>
      </c>
      <c r="FT45" s="306">
        <v>12.576453272094176</v>
      </c>
      <c r="FU45" s="306">
        <v>16.116016305206848</v>
      </c>
      <c r="FV45" s="306">
        <v>16.721717212254301</v>
      </c>
      <c r="FW45" s="306">
        <v>20.777254956159471</v>
      </c>
      <c r="FX45" s="306">
        <f>'EDE''s'!C45</f>
        <v>77.589793512966992</v>
      </c>
      <c r="FY45" s="414"/>
      <c r="FZ45" s="414"/>
      <c r="GA45" s="414"/>
      <c r="GB45" s="414"/>
      <c r="GC45" s="414"/>
      <c r="GD45" s="414"/>
      <c r="GE45" s="414"/>
      <c r="GF45" s="414"/>
    </row>
    <row r="46" spans="1:188" ht="13.8" x14ac:dyDescent="0.3">
      <c r="A46" s="45"/>
      <c r="B46" s="21" t="s">
        <v>20</v>
      </c>
      <c r="C46" s="284">
        <v>20.904549483303221</v>
      </c>
      <c r="D46" s="284">
        <v>13.094992773362254</v>
      </c>
      <c r="E46" s="284">
        <v>7.8095567099409671</v>
      </c>
      <c r="F46" s="285">
        <v>0.59637732109536667</v>
      </c>
      <c r="G46" s="284"/>
      <c r="H46" s="284">
        <v>15.358777530227059</v>
      </c>
      <c r="I46" s="284">
        <v>-2.2637847568648048</v>
      </c>
      <c r="J46" s="285">
        <v>-0.14739355084801062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306">
        <v>24.299878518408793</v>
      </c>
      <c r="FH46" s="306">
        <v>16.716828770096022</v>
      </c>
      <c r="FI46" s="306">
        <v>16.373887877497744</v>
      </c>
      <c r="FJ46" s="306">
        <v>16.971058557718081</v>
      </c>
      <c r="FK46" s="410"/>
      <c r="FL46" s="25">
        <v>0</v>
      </c>
      <c r="FM46" s="25">
        <v>18.415189770701748</v>
      </c>
      <c r="FN46" s="25">
        <v>24.314431835758207</v>
      </c>
      <c r="FO46" s="25">
        <v>25.255047886455408</v>
      </c>
      <c r="FP46" s="25">
        <v>25.268842600454626</v>
      </c>
      <c r="FQ46" s="25">
        <v>17.098906451160666</v>
      </c>
      <c r="FR46" s="25">
        <v>13.729328643069859</v>
      </c>
      <c r="FS46" s="306">
        <v>10.631267413445004</v>
      </c>
      <c r="FT46" s="306">
        <v>12.176081436295588</v>
      </c>
      <c r="FU46" s="306">
        <v>15.493292864162539</v>
      </c>
      <c r="FV46" s="306">
        <v>15.107913099277484</v>
      </c>
      <c r="FW46" s="306">
        <v>13.477158014369007</v>
      </c>
      <c r="FX46" s="306">
        <f>'EDE''s'!C46</f>
        <v>20.904549483303221</v>
      </c>
      <c r="FY46" s="414"/>
      <c r="FZ46" s="414"/>
      <c r="GA46" s="414"/>
      <c r="GB46" s="414"/>
      <c r="GC46" s="414"/>
      <c r="GD46" s="414"/>
      <c r="GE46" s="414"/>
      <c r="GF46" s="414"/>
    </row>
    <row r="47" spans="1:188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306"/>
      <c r="FJ47" s="306"/>
      <c r="FK47" s="410"/>
      <c r="FL47" s="25"/>
      <c r="FM47" s="25"/>
      <c r="FN47" s="25"/>
      <c r="FO47" s="25"/>
      <c r="FP47" s="25"/>
      <c r="FQ47" s="25"/>
      <c r="FR47" s="25"/>
      <c r="FS47" s="306"/>
      <c r="FT47" s="306"/>
      <c r="FU47" s="306"/>
      <c r="FV47" s="306"/>
      <c r="FW47" s="306"/>
      <c r="FX47" s="306"/>
      <c r="FY47" s="414"/>
      <c r="FZ47" s="414"/>
      <c r="GA47" s="414"/>
      <c r="GB47" s="414"/>
      <c r="GC47" s="414"/>
      <c r="GD47" s="414"/>
      <c r="GE47" s="414"/>
      <c r="GF47" s="414"/>
    </row>
    <row r="48" spans="1:188" ht="13.8" x14ac:dyDescent="0.3">
      <c r="A48" s="45"/>
      <c r="B48" s="42" t="s">
        <v>28</v>
      </c>
      <c r="C48" s="286">
        <v>380.39036595015506</v>
      </c>
      <c r="D48" s="286">
        <v>435.382789315808</v>
      </c>
      <c r="E48" s="286">
        <v>-54.99242336565294</v>
      </c>
      <c r="F48" s="289">
        <v>-0.12630821593125446</v>
      </c>
      <c r="G48" s="287"/>
      <c r="H48" s="286">
        <v>928.66909027103679</v>
      </c>
      <c r="I48" s="286">
        <v>-493.2863009552288</v>
      </c>
      <c r="J48" s="289">
        <v>-0.53117553509965609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362">
        <v>35.706944004802011</v>
      </c>
      <c r="FH48" s="362">
        <v>54.234225311156564</v>
      </c>
      <c r="FI48" s="362">
        <v>38.706576466864718</v>
      </c>
      <c r="FJ48" s="362">
        <v>48.253928466802826</v>
      </c>
      <c r="FK48" s="410"/>
      <c r="FL48" s="28">
        <v>0</v>
      </c>
      <c r="FM48" s="28">
        <v>181.86690989212121</v>
      </c>
      <c r="FN48" s="28">
        <v>324.70909821805265</v>
      </c>
      <c r="FO48" s="28">
        <v>338.36266721818578</v>
      </c>
      <c r="FP48" s="28">
        <v>227.94886635596765</v>
      </c>
      <c r="FQ48" s="28">
        <v>435.07742757834382</v>
      </c>
      <c r="FR48" s="28">
        <v>515.46355381818239</v>
      </c>
      <c r="FS48" s="308">
        <v>511.03805095471495</v>
      </c>
      <c r="FT48" s="362">
        <v>802.89293087876104</v>
      </c>
      <c r="FU48" s="362">
        <v>1020.8869052057645</v>
      </c>
      <c r="FV48" s="362">
        <v>974.17706340897894</v>
      </c>
      <c r="FW48" s="362">
        <v>455.52729576381836</v>
      </c>
      <c r="FX48" s="362">
        <f>'EDE''s'!C48</f>
        <v>380.39036595015506</v>
      </c>
      <c r="FY48" s="414"/>
      <c r="FZ48" s="414"/>
      <c r="GA48" s="414"/>
      <c r="GB48" s="414"/>
      <c r="GC48" s="414"/>
      <c r="GD48" s="414"/>
      <c r="GE48" s="414"/>
      <c r="GF48" s="414"/>
    </row>
    <row r="49" spans="1:188" ht="13.8" x14ac:dyDescent="0.3">
      <c r="A49" s="45"/>
      <c r="B49" s="21" t="s">
        <v>18</v>
      </c>
      <c r="C49" s="288">
        <v>96.814013317527483</v>
      </c>
      <c r="D49" s="288">
        <v>111.68535672009067</v>
      </c>
      <c r="E49" s="288">
        <v>-14.871343402563184</v>
      </c>
      <c r="F49" s="285">
        <v>-0.13315392312202762</v>
      </c>
      <c r="G49" s="284"/>
      <c r="H49" s="288">
        <v>203.03694957566304</v>
      </c>
      <c r="I49" s="288">
        <v>-91.351592855572378</v>
      </c>
      <c r="J49" s="285">
        <v>-0.44992595213084408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364">
        <v>14.793077997017912</v>
      </c>
      <c r="FH49" s="364">
        <v>3.7901586083378063</v>
      </c>
      <c r="FI49" s="364">
        <v>0.35406650244286098</v>
      </c>
      <c r="FJ49" s="364">
        <v>2.1318235248188278</v>
      </c>
      <c r="FK49" s="410"/>
      <c r="FL49" s="22">
        <v>0</v>
      </c>
      <c r="FM49" s="22">
        <v>32.828565603090752</v>
      </c>
      <c r="FN49" s="22">
        <v>67.815795239177803</v>
      </c>
      <c r="FO49" s="22">
        <v>74.198844804678856</v>
      </c>
      <c r="FP49" s="22">
        <v>106.81375309684387</v>
      </c>
      <c r="FQ49" s="22">
        <v>199.1250032054111</v>
      </c>
      <c r="FR49" s="22">
        <v>225.29417179502207</v>
      </c>
      <c r="FS49" s="309">
        <v>218.41350836416592</v>
      </c>
      <c r="FT49" s="364">
        <v>230.97123053589098</v>
      </c>
      <c r="FU49" s="364">
        <v>246.62678904739576</v>
      </c>
      <c r="FV49" s="364">
        <v>214.31408672088537</v>
      </c>
      <c r="FW49" s="364">
        <v>115.46237422409577</v>
      </c>
      <c r="FX49" s="364">
        <f>'EDE''s'!C49</f>
        <v>96.814013317527483</v>
      </c>
      <c r="FY49" s="414"/>
      <c r="FZ49" s="414"/>
      <c r="GA49" s="414"/>
      <c r="GB49" s="414"/>
      <c r="GC49" s="414"/>
      <c r="GD49" s="414"/>
      <c r="GE49" s="414"/>
      <c r="GF49" s="414"/>
    </row>
    <row r="50" spans="1:188" ht="13.8" x14ac:dyDescent="0.3">
      <c r="A50" s="45"/>
      <c r="B50" s="21" t="s">
        <v>19</v>
      </c>
      <c r="C50" s="288">
        <v>105.43309849989953</v>
      </c>
      <c r="D50" s="288">
        <v>122.7134455013182</v>
      </c>
      <c r="E50" s="288">
        <v>-17.280347001418676</v>
      </c>
      <c r="F50" s="285">
        <v>-0.14081869293803709</v>
      </c>
      <c r="G50" s="284"/>
      <c r="H50" s="288">
        <v>230.42772297530522</v>
      </c>
      <c r="I50" s="288">
        <v>-107.71427747398701</v>
      </c>
      <c r="J50" s="285">
        <v>-0.46745363831734205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4.1391044138907001</v>
      </c>
      <c r="FG50" s="364">
        <v>7.6286413392865002</v>
      </c>
      <c r="FH50" s="364">
        <v>19.843237848237155</v>
      </c>
      <c r="FI50" s="364">
        <v>13.845491621799756</v>
      </c>
      <c r="FJ50" s="364">
        <v>17.796889316264899</v>
      </c>
      <c r="FK50" s="410"/>
      <c r="FL50" s="22">
        <v>0</v>
      </c>
      <c r="FM50" s="22">
        <v>25.566251416572335</v>
      </c>
      <c r="FN50" s="22">
        <v>112.63372017433535</v>
      </c>
      <c r="FO50" s="22">
        <v>173.33178541021664</v>
      </c>
      <c r="FP50" s="22">
        <v>71.302776951646734</v>
      </c>
      <c r="FQ50" s="22">
        <v>157.14298871291319</v>
      </c>
      <c r="FR50" s="22">
        <v>197.81888104004244</v>
      </c>
      <c r="FS50" s="309">
        <v>166.29887983651201</v>
      </c>
      <c r="FT50" s="364">
        <v>281.19114374118561</v>
      </c>
      <c r="FU50" s="364">
        <v>259.96067172033429</v>
      </c>
      <c r="FV50" s="364">
        <v>239.13766204875623</v>
      </c>
      <c r="FW50" s="364">
        <v>128.44489519647999</v>
      </c>
      <c r="FX50" s="364">
        <f>'EDE''s'!C50</f>
        <v>105.43309849989953</v>
      </c>
      <c r="FY50" s="414"/>
      <c r="FZ50" s="414"/>
      <c r="GA50" s="414"/>
      <c r="GB50" s="414"/>
      <c r="GC50" s="414"/>
      <c r="GD50" s="414"/>
      <c r="GE50" s="414"/>
      <c r="GF50" s="414"/>
    </row>
    <row r="51" spans="1:188" ht="13.8" x14ac:dyDescent="0.3">
      <c r="A51" s="45"/>
      <c r="B51" s="21" t="s">
        <v>20</v>
      </c>
      <c r="C51" s="288">
        <v>178.14325413272798</v>
      </c>
      <c r="D51" s="288">
        <v>200.98398709439917</v>
      </c>
      <c r="E51" s="288">
        <v>-22.840732961671193</v>
      </c>
      <c r="F51" s="285">
        <v>-0.11364454099989191</v>
      </c>
      <c r="G51" s="284"/>
      <c r="H51" s="288">
        <v>495.20441772006853</v>
      </c>
      <c r="I51" s="288">
        <v>-294.22043062566934</v>
      </c>
      <c r="J51" s="285">
        <v>-0.5941393495241144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364">
        <v>13.2852246684976</v>
      </c>
      <c r="FH51" s="364">
        <v>30.6008288545816</v>
      </c>
      <c r="FI51" s="364">
        <v>24.5070183426221</v>
      </c>
      <c r="FJ51" s="364">
        <v>28.3252156257191</v>
      </c>
      <c r="FK51" s="410"/>
      <c r="FL51" s="22">
        <v>0</v>
      </c>
      <c r="FM51" s="22">
        <v>123.47209287245812</v>
      </c>
      <c r="FN51" s="22">
        <v>144.25958280453949</v>
      </c>
      <c r="FO51" s="22">
        <v>90.832037003290296</v>
      </c>
      <c r="FP51" s="22">
        <v>49.83233630747705</v>
      </c>
      <c r="FQ51" s="22">
        <v>78.809435660019531</v>
      </c>
      <c r="FR51" s="22">
        <v>92.350500983117811</v>
      </c>
      <c r="FS51" s="309">
        <v>126.325662754037</v>
      </c>
      <c r="FT51" s="364">
        <v>290.73055660168444</v>
      </c>
      <c r="FU51" s="364">
        <v>514.29944443803447</v>
      </c>
      <c r="FV51" s="364">
        <v>520.7253146393374</v>
      </c>
      <c r="FW51" s="364">
        <v>211.62002634324261</v>
      </c>
      <c r="FX51" s="364">
        <f>'EDE''s'!C51</f>
        <v>178.14325413272798</v>
      </c>
      <c r="FY51" s="414"/>
      <c r="FZ51" s="414"/>
      <c r="GA51" s="414"/>
      <c r="GB51" s="414"/>
      <c r="GC51" s="414"/>
      <c r="GD51" s="414"/>
      <c r="GE51" s="414"/>
      <c r="GF51" s="414"/>
    </row>
    <row r="52" spans="1:188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306"/>
      <c r="FJ52" s="306"/>
      <c r="FK52" s="410"/>
      <c r="FL52" s="25"/>
      <c r="FM52" s="25"/>
      <c r="FN52" s="25"/>
      <c r="FO52" s="25"/>
      <c r="FP52" s="25"/>
      <c r="FQ52" s="25"/>
      <c r="FR52" s="25"/>
      <c r="FS52" s="306"/>
      <c r="FT52" s="306"/>
      <c r="FU52" s="306"/>
      <c r="FV52" s="306"/>
      <c r="FW52" s="306"/>
      <c r="FX52" s="306"/>
      <c r="FY52" s="414"/>
      <c r="FZ52" s="414"/>
      <c r="GA52" s="414"/>
      <c r="GB52" s="414"/>
      <c r="GC52" s="414"/>
      <c r="GD52" s="414"/>
      <c r="GE52" s="414"/>
      <c r="GF52" s="414"/>
    </row>
    <row r="53" spans="1:188" ht="13.8" x14ac:dyDescent="0.3">
      <c r="A53" s="46"/>
      <c r="B53" s="42" t="s">
        <v>29</v>
      </c>
      <c r="C53" s="286">
        <v>10204.18271895</v>
      </c>
      <c r="D53" s="286">
        <v>9645.6666684099982</v>
      </c>
      <c r="E53" s="286">
        <v>558.51605054000174</v>
      </c>
      <c r="F53" s="289">
        <v>5.7903312413766846E-2</v>
      </c>
      <c r="G53" s="287"/>
      <c r="H53" s="286">
        <v>10163.564637534064</v>
      </c>
      <c r="I53" s="286">
        <v>-517.89796912406564</v>
      </c>
      <c r="J53" s="289">
        <v>-5.0956331522846565E-2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362">
        <v>986.7272493800001</v>
      </c>
      <c r="FH53" s="362">
        <v>1023.1677083</v>
      </c>
      <c r="FI53" s="362">
        <v>1042.3778053000001</v>
      </c>
      <c r="FJ53" s="362">
        <v>1025.4628561</v>
      </c>
      <c r="FK53" s="410"/>
      <c r="FL53" s="28">
        <v>6520.8314140319999</v>
      </c>
      <c r="FM53" s="28">
        <v>7187.3447178600009</v>
      </c>
      <c r="FN53" s="28">
        <v>7464.0384794519996</v>
      </c>
      <c r="FO53" s="28">
        <v>7443.9917538340014</v>
      </c>
      <c r="FP53" s="28">
        <v>7988.9403433000007</v>
      </c>
      <c r="FQ53" s="28">
        <v>8442.8357020000003</v>
      </c>
      <c r="FR53" s="28">
        <v>9006.4057659000009</v>
      </c>
      <c r="FS53" s="308">
        <v>9278.4542139999994</v>
      </c>
      <c r="FT53" s="362">
        <v>9644.2191131999989</v>
      </c>
      <c r="FU53" s="362">
        <v>10239.8587515</v>
      </c>
      <c r="FV53" s="362">
        <v>11059.390734004064</v>
      </c>
      <c r="FW53" s="362">
        <v>10484.15862271</v>
      </c>
      <c r="FX53" s="362">
        <f>'EDE''s'!C53</f>
        <v>10204.18271895</v>
      </c>
      <c r="FY53" s="414"/>
      <c r="FZ53" s="414"/>
      <c r="GA53" s="414"/>
      <c r="GB53" s="414"/>
      <c r="GC53" s="414"/>
      <c r="GD53" s="414"/>
      <c r="GE53" s="414"/>
      <c r="GF53" s="414"/>
    </row>
    <row r="54" spans="1:188" ht="13.8" x14ac:dyDescent="0.3">
      <c r="A54" s="46"/>
      <c r="B54" s="21" t="s">
        <v>18</v>
      </c>
      <c r="C54" s="288">
        <v>3571.5011180000001</v>
      </c>
      <c r="D54" s="288">
        <v>3302.4705660000004</v>
      </c>
      <c r="E54" s="288">
        <v>269.03055199999972</v>
      </c>
      <c r="F54" s="285">
        <v>8.1463421587994161E-2</v>
      </c>
      <c r="G54" s="284"/>
      <c r="H54" s="288">
        <v>3235.0441320000004</v>
      </c>
      <c r="I54" s="288">
        <v>67.426433999999972</v>
      </c>
      <c r="J54" s="285">
        <v>2.0842508246808659E-2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364">
        <v>358.30397799999997</v>
      </c>
      <c r="FH54" s="364">
        <v>369.14051899999998</v>
      </c>
      <c r="FI54" s="364">
        <v>351.00980700000002</v>
      </c>
      <c r="FJ54" s="364">
        <v>350.81945999999999</v>
      </c>
      <c r="FK54" s="410"/>
      <c r="FL54" s="22">
        <v>2207.9786030320001</v>
      </c>
      <c r="FM54" s="22">
        <v>2294.0000968600002</v>
      </c>
      <c r="FN54" s="22">
        <v>2293.1176294520001</v>
      </c>
      <c r="FO54" s="22">
        <v>2181.4891698340002</v>
      </c>
      <c r="FP54" s="22">
        <v>2402.4180310000002</v>
      </c>
      <c r="FQ54" s="22">
        <v>2586.6914760000004</v>
      </c>
      <c r="FR54" s="22">
        <v>2750.3419290000002</v>
      </c>
      <c r="FS54" s="309">
        <v>2900.6510060000001</v>
      </c>
      <c r="FT54" s="364">
        <v>3036.1533399999998</v>
      </c>
      <c r="FU54" s="364">
        <v>3255.5976020000003</v>
      </c>
      <c r="FV54" s="364">
        <v>3524.5989410000002</v>
      </c>
      <c r="FW54" s="364">
        <v>3589.1794920000002</v>
      </c>
      <c r="FX54" s="364">
        <f>'EDE''s'!C54</f>
        <v>3571.5011180000001</v>
      </c>
      <c r="FY54" s="414"/>
      <c r="FZ54" s="414"/>
      <c r="GA54" s="414"/>
      <c r="GB54" s="414"/>
      <c r="GC54" s="414"/>
      <c r="GD54" s="414"/>
      <c r="GE54" s="414"/>
      <c r="GF54" s="414"/>
    </row>
    <row r="55" spans="1:188" ht="13.8" x14ac:dyDescent="0.3">
      <c r="A55" s="46"/>
      <c r="B55" s="21" t="s">
        <v>19</v>
      </c>
      <c r="C55" s="288">
        <v>3926.3341090000004</v>
      </c>
      <c r="D55" s="288">
        <v>3825.1674240000002</v>
      </c>
      <c r="E55" s="288">
        <v>101.16668500000014</v>
      </c>
      <c r="F55" s="285">
        <v>2.6447648896426486E-2</v>
      </c>
      <c r="G55" s="284"/>
      <c r="H55" s="288">
        <v>3924.2334589999991</v>
      </c>
      <c r="I55" s="288">
        <v>-99.066034999998919</v>
      </c>
      <c r="J55" s="285">
        <v>-2.5244684353015946E-2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364">
        <v>381.61327900000003</v>
      </c>
      <c r="FH55" s="364">
        <v>386.86691099999996</v>
      </c>
      <c r="FI55" s="364">
        <v>396.61486600000001</v>
      </c>
      <c r="FJ55" s="364">
        <v>385.11365699999999</v>
      </c>
      <c r="FK55" s="410"/>
      <c r="FL55" s="22">
        <v>2575.5784929999995</v>
      </c>
      <c r="FM55" s="22">
        <v>2744.3833850000001</v>
      </c>
      <c r="FN55" s="22">
        <v>2900.7897099999996</v>
      </c>
      <c r="FO55" s="22">
        <v>2977.7967950000007</v>
      </c>
      <c r="FP55" s="22">
        <v>3117.3791200000001</v>
      </c>
      <c r="FQ55" s="22">
        <v>3217.902787</v>
      </c>
      <c r="FR55" s="22">
        <v>3373.8663179999999</v>
      </c>
      <c r="FS55" s="309">
        <v>3550.5212270000002</v>
      </c>
      <c r="FT55" s="364">
        <v>3678.688866</v>
      </c>
      <c r="FU55" s="364">
        <v>3847.182456</v>
      </c>
      <c r="FV55" s="364">
        <v>4289.7039089999989</v>
      </c>
      <c r="FW55" s="364">
        <v>4156.0043420000002</v>
      </c>
      <c r="FX55" s="364">
        <f>'EDE''s'!C55</f>
        <v>3926.3341090000004</v>
      </c>
      <c r="FY55" s="414"/>
      <c r="FZ55" s="414"/>
      <c r="GA55" s="414"/>
      <c r="GB55" s="414"/>
      <c r="GC55" s="414"/>
      <c r="GD55" s="414"/>
      <c r="GE55" s="414"/>
      <c r="GF55" s="414"/>
    </row>
    <row r="56" spans="1:188" ht="13.8" x14ac:dyDescent="0.3">
      <c r="A56" s="46"/>
      <c r="B56" s="21" t="s">
        <v>20</v>
      </c>
      <c r="C56" s="288">
        <v>2706.3474919499995</v>
      </c>
      <c r="D56" s="288">
        <v>2518.0286784099999</v>
      </c>
      <c r="E56" s="288">
        <v>188.31881353999961</v>
      </c>
      <c r="F56" s="285">
        <v>7.4788192507367651E-2</v>
      </c>
      <c r="G56" s="284"/>
      <c r="H56" s="288">
        <v>3004.2870465340643</v>
      </c>
      <c r="I56" s="288">
        <v>-486.25836812406442</v>
      </c>
      <c r="J56" s="285">
        <v>-0.16185482964586984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364">
        <v>246.80999237999998</v>
      </c>
      <c r="FH56" s="364">
        <v>267.16027830000002</v>
      </c>
      <c r="FI56" s="364">
        <v>294.7531323</v>
      </c>
      <c r="FJ56" s="364">
        <v>289.52973909999997</v>
      </c>
      <c r="FK56" s="410"/>
      <c r="FL56" s="22">
        <v>1737.274318</v>
      </c>
      <c r="FM56" s="22">
        <v>2148.9612360000001</v>
      </c>
      <c r="FN56" s="22">
        <v>2270.13114</v>
      </c>
      <c r="FO56" s="22">
        <v>2284.7057890000001</v>
      </c>
      <c r="FP56" s="22">
        <v>2469.1431923</v>
      </c>
      <c r="FQ56" s="22">
        <v>2638.2414389999999</v>
      </c>
      <c r="FR56" s="22">
        <v>2882.1975189</v>
      </c>
      <c r="FS56" s="309">
        <v>2827.2819809999996</v>
      </c>
      <c r="FT56" s="364">
        <v>2929.3769072</v>
      </c>
      <c r="FU56" s="364">
        <v>3137.0786935000001</v>
      </c>
      <c r="FV56" s="364">
        <v>3245.0878840040641</v>
      </c>
      <c r="FW56" s="364">
        <v>2738.9747887099998</v>
      </c>
      <c r="FX56" s="364">
        <f>'EDE''s'!C56</f>
        <v>2706.3474919499995</v>
      </c>
      <c r="FY56" s="414"/>
      <c r="FZ56" s="414"/>
      <c r="GA56" s="414"/>
      <c r="GB56" s="414"/>
      <c r="GC56" s="414"/>
      <c r="GD56" s="414"/>
      <c r="GE56" s="414"/>
      <c r="GF56" s="414"/>
    </row>
    <row r="57" spans="1:188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410"/>
      <c r="FL57" s="25"/>
      <c r="FM57" s="25"/>
      <c r="FN57" s="25"/>
      <c r="FO57" s="25"/>
      <c r="FP57" s="25"/>
      <c r="FQ57" s="25"/>
      <c r="FR57" s="25"/>
      <c r="FS57" s="306"/>
      <c r="FT57" s="306"/>
      <c r="FU57" s="306"/>
      <c r="FV57" s="306"/>
      <c r="FW57" s="306"/>
      <c r="FX57" s="306"/>
      <c r="FY57" s="414"/>
      <c r="FZ57" s="414"/>
      <c r="GA57" s="414"/>
      <c r="GB57" s="414"/>
      <c r="GC57" s="414"/>
      <c r="GD57" s="414"/>
      <c r="GE57" s="414"/>
      <c r="GF57" s="414"/>
    </row>
    <row r="58" spans="1:188" ht="13.8" x14ac:dyDescent="0.3">
      <c r="A58" s="46"/>
      <c r="B58" s="42" t="s">
        <v>87</v>
      </c>
      <c r="C58" s="290">
        <v>14.025814036533641</v>
      </c>
      <c r="D58" s="290">
        <v>14.292023702524739</v>
      </c>
      <c r="E58" s="290">
        <v>-0.26620966599109863</v>
      </c>
      <c r="F58" s="289">
        <v>-1.8626450076770561E-2</v>
      </c>
      <c r="G58" s="287"/>
      <c r="H58" s="290">
        <v>15.49653327572757</v>
      </c>
      <c r="I58" s="290">
        <v>-1.2045095732028308</v>
      </c>
      <c r="J58" s="289">
        <v>-7.7727679589438908E-2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366">
        <v>14.018042007707038</v>
      </c>
      <c r="FH58" s="366">
        <v>14.332097685879623</v>
      </c>
      <c r="FI58" s="366">
        <v>14.339273351147</v>
      </c>
      <c r="FJ58" s="366">
        <v>14.392139146698371</v>
      </c>
      <c r="FK58" s="410"/>
      <c r="FL58" s="37">
        <v>18.340304591921374</v>
      </c>
      <c r="FM58" s="37">
        <v>18.675417319436445</v>
      </c>
      <c r="FN58" s="37">
        <v>20.485831345997365</v>
      </c>
      <c r="FO58" s="37">
        <v>20.729394045992937</v>
      </c>
      <c r="FP58" s="37">
        <v>19.332977528817981</v>
      </c>
      <c r="FQ58" s="37">
        <v>18.50895607722827</v>
      </c>
      <c r="FR58" s="37">
        <v>17.54395866279134</v>
      </c>
      <c r="FS58" s="311">
        <v>16.902914673615406</v>
      </c>
      <c r="FT58" s="366">
        <v>16.577116914306874</v>
      </c>
      <c r="FU58" s="366">
        <v>16.070246499035509</v>
      </c>
      <c r="FV58" s="366">
        <v>15.451582341060172</v>
      </c>
      <c r="FW58" s="366">
        <v>14.235516372011306</v>
      </c>
      <c r="FX58" s="366">
        <f>'EDE''s'!C58</f>
        <v>14.025814036533641</v>
      </c>
      <c r="FY58" s="414"/>
      <c r="FZ58" s="414"/>
      <c r="GA58" s="414"/>
      <c r="GB58" s="414"/>
      <c r="GC58" s="414"/>
      <c r="GD58" s="414"/>
      <c r="GE58" s="414"/>
      <c r="GF58" s="414"/>
    </row>
    <row r="59" spans="1:188" ht="13.8" x14ac:dyDescent="0.3">
      <c r="A59" s="46"/>
      <c r="B59" s="21" t="s">
        <v>18</v>
      </c>
      <c r="C59" s="284">
        <v>13.43700349843304</v>
      </c>
      <c r="D59" s="284">
        <v>13.569903337159611</v>
      </c>
      <c r="E59" s="284">
        <v>-0.13289983872657096</v>
      </c>
      <c r="F59" s="285">
        <v>-9.7937203695946853E-3</v>
      </c>
      <c r="G59" s="284"/>
      <c r="H59" s="284">
        <v>15.157736744962341</v>
      </c>
      <c r="I59" s="284">
        <v>-1.5878334078027301</v>
      </c>
      <c r="J59" s="285">
        <v>-0.10475399029016948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306">
        <v>13.552629873913299</v>
      </c>
      <c r="FH59" s="306">
        <v>14.017693430828507</v>
      </c>
      <c r="FI59" s="306">
        <v>13.565295542595903</v>
      </c>
      <c r="FJ59" s="306">
        <v>13.872664770109299</v>
      </c>
      <c r="FK59" s="410"/>
      <c r="FL59" s="25">
        <v>16.953090248398837</v>
      </c>
      <c r="FM59" s="25">
        <v>17.828337232224424</v>
      </c>
      <c r="FN59" s="25">
        <v>19.83451145638168</v>
      </c>
      <c r="FO59" s="25">
        <v>20.108316852937016</v>
      </c>
      <c r="FP59" s="25">
        <v>18.579924621403404</v>
      </c>
      <c r="FQ59" s="25">
        <v>17.855301122833236</v>
      </c>
      <c r="FR59" s="25">
        <v>17.000962754238124</v>
      </c>
      <c r="FS59" s="306">
        <v>16.364459611277606</v>
      </c>
      <c r="FT59" s="306">
        <v>16.080626779832162</v>
      </c>
      <c r="FU59" s="306">
        <v>15.628410185915198</v>
      </c>
      <c r="FV59" s="306">
        <v>15.104024069416045</v>
      </c>
      <c r="FW59" s="306">
        <v>13.517006857617739</v>
      </c>
      <c r="FX59" s="306">
        <f>'EDE''s'!C59</f>
        <v>13.43700349843304</v>
      </c>
      <c r="FY59" s="414"/>
      <c r="FZ59" s="414"/>
      <c r="GA59" s="414"/>
      <c r="GB59" s="414"/>
      <c r="GC59" s="414"/>
      <c r="GD59" s="414"/>
      <c r="GE59" s="414"/>
      <c r="GF59" s="414"/>
    </row>
    <row r="60" spans="1:188" ht="13.8" x14ac:dyDescent="0.3">
      <c r="A60" s="46"/>
      <c r="B60" s="21" t="s">
        <v>19</v>
      </c>
      <c r="C60" s="284">
        <v>14.560353264214632</v>
      </c>
      <c r="D60" s="284">
        <v>15.095599113972181</v>
      </c>
      <c r="E60" s="284">
        <v>-0.53524584975754941</v>
      </c>
      <c r="F60" s="285">
        <v>-3.5457078961651588E-2</v>
      </c>
      <c r="G60" s="284"/>
      <c r="H60" s="284">
        <v>16.206024291565789</v>
      </c>
      <c r="I60" s="284">
        <v>-1.1104251775936085</v>
      </c>
      <c r="J60" s="285">
        <v>-6.8519283793219699E-2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306">
        <v>14.431461817232014</v>
      </c>
      <c r="FH60" s="306">
        <v>14.690324368004907</v>
      </c>
      <c r="FI60" s="306">
        <v>14.816154859727895</v>
      </c>
      <c r="FJ60" s="306">
        <v>14.928711540548004</v>
      </c>
      <c r="FK60" s="410"/>
      <c r="FL60" s="25">
        <v>20.14857447366699</v>
      </c>
      <c r="FM60" s="25">
        <v>20.355040159319778</v>
      </c>
      <c r="FN60" s="25">
        <v>21.806007076998569</v>
      </c>
      <c r="FO60" s="25">
        <v>21.826100076073619</v>
      </c>
      <c r="FP60" s="25">
        <v>20.323557400470964</v>
      </c>
      <c r="FQ60" s="25">
        <v>19.461453420872648</v>
      </c>
      <c r="FR60" s="25">
        <v>18.292732253772531</v>
      </c>
      <c r="FS60" s="306">
        <v>17.484519134110361</v>
      </c>
      <c r="FT60" s="306">
        <v>17.58924355985528</v>
      </c>
      <c r="FU60" s="306">
        <v>17.058245663696511</v>
      </c>
      <c r="FV60" s="306">
        <v>16.145901827452295</v>
      </c>
      <c r="FW60" s="306">
        <v>15.028163639880768</v>
      </c>
      <c r="FX60" s="306">
        <f>'EDE''s'!C60</f>
        <v>14.560353264214632</v>
      </c>
      <c r="FY60" s="414"/>
      <c r="FZ60" s="414"/>
      <c r="GA60" s="414"/>
      <c r="GB60" s="414"/>
      <c r="GC60" s="414"/>
      <c r="GD60" s="414"/>
      <c r="GE60" s="414"/>
      <c r="GF60" s="414"/>
    </row>
    <row r="61" spans="1:188" ht="13.8" x14ac:dyDescent="0.3">
      <c r="A61" s="46"/>
      <c r="B61" s="21" t="s">
        <v>20</v>
      </c>
      <c r="C61" s="284">
        <v>14.027350385020465</v>
      </c>
      <c r="D61" s="284">
        <v>14.01838534376555</v>
      </c>
      <c r="E61" s="284">
        <v>8.9650412549158176E-3</v>
      </c>
      <c r="F61" s="285">
        <v>6.3952024680951399E-4</v>
      </c>
      <c r="G61" s="284"/>
      <c r="H61" s="284">
        <v>14.93460739172596</v>
      </c>
      <c r="I61" s="284">
        <v>-0.91622204796041018</v>
      </c>
      <c r="J61" s="285">
        <v>-6.1348920927644449E-2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306">
        <v>14.054477039144253</v>
      </c>
      <c r="FH61" s="306">
        <v>14.247778638865768</v>
      </c>
      <c r="FI61" s="306">
        <v>14.61928905423412</v>
      </c>
      <c r="FJ61" s="306">
        <v>14.30786581216042</v>
      </c>
      <c r="FK61" s="410"/>
      <c r="FL61" s="25">
        <v>17.422544275011642</v>
      </c>
      <c r="FM61" s="25">
        <v>17.434665663211707</v>
      </c>
      <c r="FN61" s="25">
        <v>19.456816319759916</v>
      </c>
      <c r="FO61" s="25">
        <v>19.893008660903416</v>
      </c>
      <c r="FP61" s="25">
        <v>18.815038703114535</v>
      </c>
      <c r="FQ61" s="25">
        <v>17.988063585119804</v>
      </c>
      <c r="FR61" s="25">
        <v>17.185607933156348</v>
      </c>
      <c r="FS61" s="306">
        <v>16.724959744524345</v>
      </c>
      <c r="FT61" s="306">
        <v>15.820683409129677</v>
      </c>
      <c r="FU61" s="306">
        <v>15.317134434537197</v>
      </c>
      <c r="FV61" s="306">
        <v>14.911251366561279</v>
      </c>
      <c r="FW61" s="306">
        <v>13.974328910184171</v>
      </c>
      <c r="FX61" s="306">
        <f>'EDE''s'!C61</f>
        <v>14.027350385020465</v>
      </c>
      <c r="FY61" s="414"/>
      <c r="FZ61" s="414"/>
      <c r="GA61" s="414"/>
      <c r="GB61" s="414"/>
      <c r="GC61" s="414"/>
      <c r="GD61" s="414"/>
      <c r="GE61" s="414"/>
      <c r="GF61" s="414"/>
    </row>
    <row r="62" spans="1:188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306"/>
      <c r="FK62" s="410"/>
      <c r="FL62" s="25"/>
      <c r="FM62" s="25"/>
      <c r="FN62" s="25"/>
      <c r="FO62" s="25"/>
      <c r="FP62" s="25"/>
      <c r="FQ62" s="25"/>
      <c r="FR62" s="25"/>
      <c r="FS62" s="306"/>
      <c r="FT62" s="306"/>
      <c r="FU62" s="306"/>
      <c r="FV62" s="306"/>
      <c r="FW62" s="306"/>
      <c r="FX62" s="306"/>
      <c r="FY62" s="414"/>
      <c r="FZ62" s="414"/>
      <c r="GA62" s="414"/>
      <c r="GB62" s="414"/>
      <c r="GC62" s="414"/>
      <c r="GD62" s="414"/>
      <c r="GE62" s="414"/>
      <c r="GF62" s="414"/>
    </row>
    <row r="63" spans="1:188" ht="13.8" x14ac:dyDescent="0.3">
      <c r="A63" s="46"/>
      <c r="B63" s="42" t="s">
        <v>30</v>
      </c>
      <c r="C63" s="290">
        <v>8.0198010957523014</v>
      </c>
      <c r="D63" s="290">
        <v>8.063092133482451</v>
      </c>
      <c r="E63" s="290">
        <v>-4.329103773014964E-2</v>
      </c>
      <c r="F63" s="289">
        <v>-5.3690367186034161E-3</v>
      </c>
      <c r="G63" s="287"/>
      <c r="H63" s="290">
        <v>7.9289797621388898</v>
      </c>
      <c r="I63" s="290">
        <v>0.13411237134356124</v>
      </c>
      <c r="J63" s="289">
        <v>1.6914202755813772E-2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366">
        <v>8.0162700566462508</v>
      </c>
      <c r="FH63" s="366">
        <v>8.1347553255284151</v>
      </c>
      <c r="FI63" s="366">
        <v>8.1037112809405656</v>
      </c>
      <c r="FJ63" s="366">
        <v>8.1634515982336637</v>
      </c>
      <c r="FK63" s="410"/>
      <c r="FL63" s="37">
        <v>6.6030504112883301</v>
      </c>
      <c r="FM63" s="37">
        <v>6.8824961229840715</v>
      </c>
      <c r="FN63" s="37">
        <v>7.8100382178040197</v>
      </c>
      <c r="FO63" s="37">
        <v>8.1514790768512633</v>
      </c>
      <c r="FP63" s="37">
        <v>8.0871055255452493</v>
      </c>
      <c r="FQ63" s="37">
        <v>8.063090247187052</v>
      </c>
      <c r="FR63" s="37">
        <v>7.9046705274030504</v>
      </c>
      <c r="FS63" s="311">
        <v>7.7868790197946254</v>
      </c>
      <c r="FT63" s="366">
        <v>7.8825057984997251</v>
      </c>
      <c r="FU63" s="366">
        <v>7.9602428948746606</v>
      </c>
      <c r="FV63" s="366">
        <v>7.927088136151637</v>
      </c>
      <c r="FW63" s="366">
        <v>8.0518421193107859</v>
      </c>
      <c r="FX63" s="366">
        <f>'EDE''s'!C63</f>
        <v>8.0198010957523014</v>
      </c>
      <c r="FY63" s="414"/>
      <c r="FZ63" s="414"/>
      <c r="GA63" s="414"/>
      <c r="GB63" s="414"/>
      <c r="GC63" s="414"/>
      <c r="GD63" s="414"/>
      <c r="GE63" s="414"/>
      <c r="GF63" s="414"/>
    </row>
    <row r="64" spans="1:188" ht="13.8" x14ac:dyDescent="0.3">
      <c r="A64" s="46"/>
      <c r="B64" s="21" t="s">
        <v>18</v>
      </c>
      <c r="C64" s="284">
        <v>7.6831154031440247</v>
      </c>
      <c r="D64" s="284">
        <v>7.6595906871863209</v>
      </c>
      <c r="E64" s="284">
        <v>2.352471595770389E-2</v>
      </c>
      <c r="F64" s="285">
        <v>3.0712758577371808E-3</v>
      </c>
      <c r="G64" s="284"/>
      <c r="H64" s="284">
        <v>7.7581917782128551</v>
      </c>
      <c r="I64" s="284">
        <v>-9.8601091026534249E-2</v>
      </c>
      <c r="J64" s="285">
        <v>-1.2709287659456078E-2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306">
        <v>7.7501223771001788</v>
      </c>
      <c r="FH64" s="306">
        <v>7.9563026144039517</v>
      </c>
      <c r="FI64" s="306">
        <v>7.6663046882381911</v>
      </c>
      <c r="FJ64" s="306">
        <v>7.8687974202423163</v>
      </c>
      <c r="FK64" s="410"/>
      <c r="FL64" s="25">
        <v>6.1039493176667676</v>
      </c>
      <c r="FM64" s="25">
        <v>6.5706783385719749</v>
      </c>
      <c r="FN64" s="25">
        <v>7.5620695833619003</v>
      </c>
      <c r="FO64" s="25">
        <v>7.9056477649960106</v>
      </c>
      <c r="FP64" s="25">
        <v>7.7727493927815958</v>
      </c>
      <c r="FQ64" s="25">
        <v>7.7782344933463303</v>
      </c>
      <c r="FR64" s="25">
        <v>7.6601456294646137</v>
      </c>
      <c r="FS64" s="306">
        <v>7.5393937577617125</v>
      </c>
      <c r="FT64" s="306">
        <v>7.6463038077486845</v>
      </c>
      <c r="FU64" s="306">
        <v>7.7419355498370388</v>
      </c>
      <c r="FV64" s="306">
        <v>7.7512795906724534</v>
      </c>
      <c r="FW64" s="306">
        <v>7.6490140335650043</v>
      </c>
      <c r="FX64" s="306">
        <f>'EDE''s'!C64</f>
        <v>7.6831154031440247</v>
      </c>
      <c r="FY64" s="414"/>
      <c r="FZ64" s="414"/>
      <c r="GA64" s="414"/>
      <c r="GB64" s="414"/>
      <c r="GC64" s="414"/>
      <c r="GD64" s="414"/>
      <c r="GE64" s="414"/>
      <c r="GF64" s="414"/>
    </row>
    <row r="65" spans="1:188" ht="13.8" x14ac:dyDescent="0.3">
      <c r="A65" s="46"/>
      <c r="B65" s="21" t="s">
        <v>19</v>
      </c>
      <c r="C65" s="284">
        <v>8.3266147125076451</v>
      </c>
      <c r="D65" s="284">
        <v>8.5186121379559285</v>
      </c>
      <c r="E65" s="284">
        <v>-0.19199742544828347</v>
      </c>
      <c r="F65" s="285">
        <v>-2.2538580503367527E-2</v>
      </c>
      <c r="G65" s="284"/>
      <c r="H65" s="284">
        <v>8.2942727548513915</v>
      </c>
      <c r="I65" s="284">
        <v>0.22433938310453705</v>
      </c>
      <c r="J65" s="285">
        <v>2.7047504915161974E-2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306">
        <v>8.2526857299690572</v>
      </c>
      <c r="FH65" s="306">
        <v>8.3380812080359057</v>
      </c>
      <c r="FI65" s="306">
        <v>8.3732165735814821</v>
      </c>
      <c r="FJ65" s="306">
        <v>8.4678040451834757</v>
      </c>
      <c r="FK65" s="410"/>
      <c r="FL65" s="25">
        <v>7.2537914921935185</v>
      </c>
      <c r="FM65" s="25">
        <v>7.5006605433518887</v>
      </c>
      <c r="FN65" s="25">
        <v>8.3134001755956337</v>
      </c>
      <c r="FO65" s="25">
        <v>8.5833443780169123</v>
      </c>
      <c r="FP65" s="25">
        <v>8.5019874182996347</v>
      </c>
      <c r="FQ65" s="25">
        <v>8.4783647659896566</v>
      </c>
      <c r="FR65" s="25">
        <v>8.2421004401396107</v>
      </c>
      <c r="FS65" s="306">
        <v>8.0555746359856926</v>
      </c>
      <c r="FT65" s="306">
        <v>8.3640058735970264</v>
      </c>
      <c r="FU65" s="306">
        <v>8.4504049265710126</v>
      </c>
      <c r="FV65" s="306">
        <v>8.2863483111929455</v>
      </c>
      <c r="FW65" s="306">
        <v>8.5019301406855963</v>
      </c>
      <c r="FX65" s="306">
        <f>'EDE''s'!C65</f>
        <v>8.3266147125076451</v>
      </c>
      <c r="FY65" s="414"/>
      <c r="FZ65" s="414"/>
      <c r="GA65" s="414"/>
      <c r="GB65" s="414"/>
      <c r="GC65" s="414"/>
      <c r="GD65" s="414"/>
      <c r="GE65" s="414"/>
      <c r="GF65" s="414"/>
    </row>
    <row r="66" spans="1:188" ht="13.8" x14ac:dyDescent="0.3">
      <c r="A66" s="46"/>
      <c r="B66" s="21" t="s">
        <v>20</v>
      </c>
      <c r="C66" s="284">
        <v>8.0189957885943759</v>
      </c>
      <c r="D66" s="284">
        <v>7.9003105750850686</v>
      </c>
      <c r="E66" s="284">
        <v>0.11868521350930727</v>
      </c>
      <c r="F66" s="285">
        <v>1.5022854150012869E-2</v>
      </c>
      <c r="G66" s="284"/>
      <c r="H66" s="284">
        <v>7.6357360389264297</v>
      </c>
      <c r="I66" s="284">
        <v>0.26457453615863891</v>
      </c>
      <c r="J66" s="285">
        <v>3.4649513132703522E-2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306">
        <v>8.0371055664387399</v>
      </c>
      <c r="FH66" s="306">
        <v>8.0868966776338223</v>
      </c>
      <c r="FI66" s="306">
        <v>8.2619596353989238</v>
      </c>
      <c r="FJ66" s="306">
        <v>8.1156504145103856</v>
      </c>
      <c r="FK66" s="410"/>
      <c r="FL66" s="25">
        <v>6.2726304015770626</v>
      </c>
      <c r="FM66" s="25">
        <v>6.4259173255750088</v>
      </c>
      <c r="FN66" s="25">
        <v>7.4173182005908256</v>
      </c>
      <c r="FO66" s="25">
        <v>7.82332795609247</v>
      </c>
      <c r="FP66" s="25">
        <v>7.8691638079851183</v>
      </c>
      <c r="FQ66" s="25">
        <v>7.8358634770310696</v>
      </c>
      <c r="FR66" s="25">
        <v>7.7430173670183819</v>
      </c>
      <c r="FS66" s="306">
        <v>7.7033567124375173</v>
      </c>
      <c r="FT66" s="306">
        <v>7.5226533331122019</v>
      </c>
      <c r="FU66" s="306">
        <v>7.5856836266067997</v>
      </c>
      <c r="FV66" s="306">
        <v>7.6431312151233373</v>
      </c>
      <c r="FW66" s="306">
        <v>7.8967675020830814</v>
      </c>
      <c r="FX66" s="306">
        <f>'EDE''s'!C66</f>
        <v>8.0189957885943759</v>
      </c>
      <c r="FY66" s="414"/>
      <c r="FZ66" s="414"/>
      <c r="GA66" s="414"/>
      <c r="GB66" s="414"/>
      <c r="GC66" s="414"/>
      <c r="GD66" s="414"/>
      <c r="GE66" s="414"/>
      <c r="GF66" s="414"/>
    </row>
    <row r="67" spans="1:188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306"/>
      <c r="FK67" s="410"/>
      <c r="FL67" s="25"/>
      <c r="FM67" s="25"/>
      <c r="FN67" s="25"/>
      <c r="FO67" s="25"/>
      <c r="FP67" s="25"/>
      <c r="FQ67" s="25"/>
      <c r="FR67" s="25"/>
      <c r="FS67" s="306"/>
      <c r="FT67" s="306"/>
      <c r="FU67" s="306"/>
      <c r="FV67" s="306"/>
      <c r="FW67" s="306"/>
      <c r="FX67" s="306"/>
      <c r="FY67" s="414"/>
      <c r="FZ67" s="414"/>
      <c r="GA67" s="414"/>
      <c r="GB67" s="414"/>
      <c r="GC67" s="414"/>
      <c r="GD67" s="414"/>
      <c r="GE67" s="414"/>
      <c r="GF67" s="414"/>
    </row>
    <row r="68" spans="1:188" ht="13.8" x14ac:dyDescent="0.3">
      <c r="A68" s="46"/>
      <c r="B68" s="42" t="s">
        <v>31</v>
      </c>
      <c r="C68" s="286">
        <v>1431.2196921080292</v>
      </c>
      <c r="D68" s="286">
        <v>1378.5609665156853</v>
      </c>
      <c r="E68" s="286">
        <v>52.658725592343899</v>
      </c>
      <c r="F68" s="289">
        <v>3.8198329179041604E-2</v>
      </c>
      <c r="G68" s="287"/>
      <c r="H68" s="286">
        <v>1575.0001760555463</v>
      </c>
      <c r="I68" s="286">
        <v>-196.43920953986094</v>
      </c>
      <c r="J68" s="289">
        <v>-0.12472329370262435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362">
        <v>138.31984031958061</v>
      </c>
      <c r="FH68" s="362">
        <v>146.64139544393186</v>
      </c>
      <c r="FI68" s="362">
        <v>149.46940285365386</v>
      </c>
      <c r="FJ68" s="362">
        <v>147.58604114761928</v>
      </c>
      <c r="FK68" s="410"/>
      <c r="FL68" s="28">
        <v>1195.9403432591623</v>
      </c>
      <c r="FM68" s="28">
        <v>1342.2666202468272</v>
      </c>
      <c r="FN68" s="28">
        <v>1529.0703345008828</v>
      </c>
      <c r="FO68" s="28">
        <v>1543.0943834034708</v>
      </c>
      <c r="FP68" s="28">
        <v>1544.5000413608634</v>
      </c>
      <c r="FQ68" s="28">
        <v>1562.6807517557272</v>
      </c>
      <c r="FR68" s="28">
        <v>1580.0801045727519</v>
      </c>
      <c r="FS68" s="308">
        <v>1568.329198822893</v>
      </c>
      <c r="FT68" s="362">
        <v>1598.7334778670934</v>
      </c>
      <c r="FU68" s="362">
        <v>1645.5705425191099</v>
      </c>
      <c r="FV68" s="362">
        <v>1708.8508656842168</v>
      </c>
      <c r="FW68" s="362">
        <v>1492.4741172035169</v>
      </c>
      <c r="FX68" s="362">
        <f>'EDE''s'!C68</f>
        <v>1431.2196921080292</v>
      </c>
      <c r="FY68" s="414"/>
      <c r="FZ68" s="414"/>
      <c r="GA68" s="414"/>
      <c r="GB68" s="414"/>
      <c r="GC68" s="414"/>
      <c r="GD68" s="414"/>
      <c r="GE68" s="414"/>
      <c r="GF68" s="414"/>
    </row>
    <row r="69" spans="1:188" ht="13.8" x14ac:dyDescent="0.3">
      <c r="A69" s="46"/>
      <c r="B69" s="21" t="s">
        <v>18</v>
      </c>
      <c r="C69" s="288">
        <v>479.90273017223512</v>
      </c>
      <c r="D69" s="288">
        <v>448.14206354434793</v>
      </c>
      <c r="E69" s="288">
        <v>31.76066662788719</v>
      </c>
      <c r="F69" s="285">
        <v>7.087187124701623E-2</v>
      </c>
      <c r="G69" s="284"/>
      <c r="H69" s="288">
        <v>490.35947311191205</v>
      </c>
      <c r="I69" s="288">
        <v>-42.217409567564118</v>
      </c>
      <c r="J69" s="285">
        <v>-8.6094817949869742E-2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364">
        <v>48.559611961847736</v>
      </c>
      <c r="FH69" s="364">
        <v>51.744986282389249</v>
      </c>
      <c r="FI69" s="364">
        <v>47.615517703045484</v>
      </c>
      <c r="FJ69" s="364">
        <v>48.668007634107681</v>
      </c>
      <c r="FK69" s="410"/>
      <c r="FL69" s="22">
        <v>374.32060523735089</v>
      </c>
      <c r="FM69" s="22">
        <v>408.98207337575576</v>
      </c>
      <c r="FN69" s="22">
        <v>454.82867892196498</v>
      </c>
      <c r="FO69" s="22">
        <v>438.66075438272611</v>
      </c>
      <c r="FP69" s="22">
        <v>446.3674592508039</v>
      </c>
      <c r="FQ69" s="22">
        <v>461.86155215845969</v>
      </c>
      <c r="FR69" s="22">
        <v>467.58460696348442</v>
      </c>
      <c r="FS69" s="309">
        <v>474.67586234098763</v>
      </c>
      <c r="FT69" s="364">
        <v>488.23248706880855</v>
      </c>
      <c r="FU69" s="364">
        <v>508.79814724337899</v>
      </c>
      <c r="FV69" s="364">
        <v>532.35627239902306</v>
      </c>
      <c r="FW69" s="364">
        <v>485.1496380658495</v>
      </c>
      <c r="FX69" s="364">
        <f>'EDE''s'!C69</f>
        <v>479.90273017223512</v>
      </c>
      <c r="FY69" s="414"/>
      <c r="FZ69" s="414"/>
      <c r="GA69" s="414"/>
      <c r="GB69" s="414"/>
      <c r="GC69" s="414"/>
      <c r="GD69" s="414"/>
      <c r="GE69" s="414"/>
      <c r="GF69" s="414"/>
    </row>
    <row r="70" spans="1:188" ht="13.8" x14ac:dyDescent="0.3">
      <c r="A70" s="46"/>
      <c r="B70" s="21" t="s">
        <v>19</v>
      </c>
      <c r="C70" s="288">
        <v>571.688116603754</v>
      </c>
      <c r="D70" s="288">
        <v>577.43193976529653</v>
      </c>
      <c r="E70" s="288">
        <v>-5.7438231615425366</v>
      </c>
      <c r="F70" s="285">
        <v>-9.9471864404957859E-3</v>
      </c>
      <c r="G70" s="284"/>
      <c r="H70" s="288">
        <v>635.96222762329228</v>
      </c>
      <c r="I70" s="288">
        <v>-58.530287857995745</v>
      </c>
      <c r="J70" s="285">
        <v>-9.2034220454781074E-2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364">
        <v>55.072374648372083</v>
      </c>
      <c r="FH70" s="364">
        <v>56.83200409838085</v>
      </c>
      <c r="FI70" s="364">
        <v>58.763072743262278</v>
      </c>
      <c r="FJ70" s="364">
        <v>57.492506956785448</v>
      </c>
      <c r="FK70" s="410"/>
      <c r="FL70" s="22">
        <v>518.94235078985491</v>
      </c>
      <c r="FM70" s="22">
        <v>558.62034014244955</v>
      </c>
      <c r="FN70" s="22">
        <v>632.54640945144615</v>
      </c>
      <c r="FO70" s="22">
        <v>649.93690853881287</v>
      </c>
      <c r="FP70" s="22">
        <v>633.56233484349661</v>
      </c>
      <c r="FQ70" s="22">
        <v>626.25065202096778</v>
      </c>
      <c r="FR70" s="22">
        <v>617.1723321519537</v>
      </c>
      <c r="FS70" s="309">
        <v>620.79156329546493</v>
      </c>
      <c r="FT70" s="364">
        <v>647.05354445001819</v>
      </c>
      <c r="FU70" s="364">
        <v>656.26183447511289</v>
      </c>
      <c r="FV70" s="364">
        <v>692.6113818355235</v>
      </c>
      <c r="FW70" s="364">
        <v>624.57113339630996</v>
      </c>
      <c r="FX70" s="364">
        <f>'EDE''s'!C70</f>
        <v>571.688116603754</v>
      </c>
      <c r="FY70" s="414"/>
      <c r="FZ70" s="414"/>
      <c r="GA70" s="414"/>
      <c r="GB70" s="414"/>
      <c r="GC70" s="414"/>
      <c r="GD70" s="414"/>
      <c r="GE70" s="414"/>
      <c r="GF70" s="414"/>
    </row>
    <row r="71" spans="1:188" ht="13.8" x14ac:dyDescent="0.3">
      <c r="A71" s="46"/>
      <c r="B71" s="21" t="s">
        <v>20</v>
      </c>
      <c r="C71" s="288">
        <v>379.62884533203999</v>
      </c>
      <c r="D71" s="288">
        <v>352.9869632060408</v>
      </c>
      <c r="E71" s="288">
        <v>26.641882125999189</v>
      </c>
      <c r="F71" s="285">
        <v>7.5475541317507944E-2</v>
      </c>
      <c r="G71" s="284"/>
      <c r="H71" s="288">
        <v>448.67847532034193</v>
      </c>
      <c r="I71" s="288">
        <v>-95.691512114301133</v>
      </c>
      <c r="J71" s="285">
        <v>-0.21327413142781251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364">
        <v>34.68785370936078</v>
      </c>
      <c r="FH71" s="364">
        <v>38.064405063161743</v>
      </c>
      <c r="FI71" s="364">
        <v>43.090812407346114</v>
      </c>
      <c r="FJ71" s="364">
        <v>41.425526556726155</v>
      </c>
      <c r="FK71" s="410"/>
      <c r="FL71" s="22">
        <v>302.67738723195657</v>
      </c>
      <c r="FM71" s="22">
        <v>374.66420672862193</v>
      </c>
      <c r="FN71" s="22">
        <v>441.69524612747176</v>
      </c>
      <c r="FO71" s="22">
        <v>454.49672048193173</v>
      </c>
      <c r="FP71" s="22">
        <v>464.57024726656277</v>
      </c>
      <c r="FQ71" s="22">
        <v>474.56854757629969</v>
      </c>
      <c r="FR71" s="22">
        <v>495.32316545731379</v>
      </c>
      <c r="FS71" s="309">
        <v>472.86177318644042</v>
      </c>
      <c r="FT71" s="364">
        <v>463.44744634826645</v>
      </c>
      <c r="FU71" s="364">
        <v>480.51056080061812</v>
      </c>
      <c r="FV71" s="364">
        <v>483.88321144967051</v>
      </c>
      <c r="FW71" s="364">
        <v>382.75334574135735</v>
      </c>
      <c r="FX71" s="364">
        <f>'EDE''s'!C71</f>
        <v>379.62884533203999</v>
      </c>
      <c r="FY71" s="414"/>
      <c r="FZ71" s="414"/>
      <c r="GA71" s="414"/>
      <c r="GB71" s="414"/>
      <c r="GC71" s="414"/>
      <c r="GD71" s="414"/>
      <c r="GE71" s="414"/>
      <c r="GF71" s="414"/>
    </row>
    <row r="72" spans="1:188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306"/>
      <c r="FK72" s="410"/>
      <c r="FL72" s="25"/>
      <c r="FM72" s="25"/>
      <c r="FN72" s="25"/>
      <c r="FO72" s="25"/>
      <c r="FP72" s="25"/>
      <c r="FQ72" s="25"/>
      <c r="FR72" s="25"/>
      <c r="FS72" s="306"/>
      <c r="FT72" s="306"/>
      <c r="FU72" s="306"/>
      <c r="FV72" s="306"/>
      <c r="FW72" s="306"/>
      <c r="FX72" s="306"/>
      <c r="FY72" s="414"/>
      <c r="FZ72" s="414"/>
      <c r="GA72" s="414"/>
      <c r="GB72" s="414"/>
      <c r="GC72" s="414"/>
      <c r="GD72" s="414"/>
      <c r="GE72" s="414"/>
      <c r="GF72" s="414"/>
    </row>
    <row r="73" spans="1:188" ht="13.8" x14ac:dyDescent="0.3">
      <c r="A73" s="46"/>
      <c r="B73" s="42" t="s">
        <v>32</v>
      </c>
      <c r="C73" s="286">
        <v>81835.515750691906</v>
      </c>
      <c r="D73" s="286">
        <v>77773.899036250543</v>
      </c>
      <c r="E73" s="286">
        <v>4061.616714441363</v>
      </c>
      <c r="F73" s="289">
        <v>5.222339068468506E-2</v>
      </c>
      <c r="G73" s="287"/>
      <c r="H73" s="286">
        <v>80586.698322198077</v>
      </c>
      <c r="I73" s="286">
        <v>-2812.7992859475344</v>
      </c>
      <c r="J73" s="289">
        <v>-3.4904014490102671E-2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362">
        <v>7909.8721032818121</v>
      </c>
      <c r="FH73" s="362">
        <v>8323.2189640021279</v>
      </c>
      <c r="FI73" s="362">
        <v>8447.1287798116791</v>
      </c>
      <c r="FJ73" s="362">
        <v>8371.3163915588029</v>
      </c>
      <c r="FK73" s="410"/>
      <c r="FL73" s="28">
        <v>43057.378550365858</v>
      </c>
      <c r="FM73" s="28">
        <v>49466.872155221499</v>
      </c>
      <c r="FN73" s="28">
        <v>58294.425783679922</v>
      </c>
      <c r="FO73" s="28">
        <v>60679.543029631204</v>
      </c>
      <c r="FP73" s="28">
        <v>64607.403593552794</v>
      </c>
      <c r="FQ73" s="28">
        <v>68075.346207398848</v>
      </c>
      <c r="FR73" s="28">
        <v>71192.670215542632</v>
      </c>
      <c r="FS73" s="308">
        <v>72250.200455121623</v>
      </c>
      <c r="FT73" s="362">
        <v>76020.613081800868</v>
      </c>
      <c r="FU73" s="362">
        <v>81511.762871147992</v>
      </c>
      <c r="FV73" s="362">
        <v>87668.765080588957</v>
      </c>
      <c r="FW73" s="362">
        <v>84416.789983871728</v>
      </c>
      <c r="FX73" s="362">
        <f>'EDE''s'!C73</f>
        <v>81835.515750691906</v>
      </c>
      <c r="FY73" s="414"/>
      <c r="FZ73" s="414"/>
      <c r="GA73" s="414"/>
      <c r="GB73" s="414"/>
      <c r="GC73" s="414"/>
      <c r="GD73" s="414"/>
      <c r="GE73" s="414"/>
      <c r="GF73" s="414"/>
    </row>
    <row r="74" spans="1:188" ht="13.8" x14ac:dyDescent="0.3">
      <c r="A74" s="46"/>
      <c r="B74" s="21" t="s">
        <v>18</v>
      </c>
      <c r="C74" s="288">
        <v>27440.255252051906</v>
      </c>
      <c r="D74" s="288">
        <v>25295.572792040541</v>
      </c>
      <c r="E74" s="288">
        <v>2144.682460011365</v>
      </c>
      <c r="F74" s="285">
        <v>8.4784894085743218E-2</v>
      </c>
      <c r="G74" s="284"/>
      <c r="H74" s="288">
        <v>25098.092787038146</v>
      </c>
      <c r="I74" s="288">
        <v>197.48000500239505</v>
      </c>
      <c r="J74" s="285">
        <v>7.8683271544992914E-3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364">
        <v>2776.8996777018101</v>
      </c>
      <c r="FH74" s="364">
        <v>2936.9936764021313</v>
      </c>
      <c r="FI74" s="364">
        <v>2690.9481290216827</v>
      </c>
      <c r="FJ74" s="364">
        <v>2760.5272618188023</v>
      </c>
      <c r="FK74" s="410"/>
      <c r="FL74" s="22">
        <v>13477.3894874</v>
      </c>
      <c r="FM74" s="22">
        <v>15073.136745120015</v>
      </c>
      <c r="FN74" s="22">
        <v>17340.715076749915</v>
      </c>
      <c r="FO74" s="22">
        <v>17246.084979861167</v>
      </c>
      <c r="FP74" s="22">
        <v>18673.393291662807</v>
      </c>
      <c r="FQ74" s="22">
        <v>20119.892862268134</v>
      </c>
      <c r="FR74" s="22">
        <v>21068.019706962627</v>
      </c>
      <c r="FS74" s="309">
        <v>21869.150088081631</v>
      </c>
      <c r="FT74" s="364">
        <v>23215.350844550885</v>
      </c>
      <c r="FU74" s="364">
        <v>25204.626810888018</v>
      </c>
      <c r="FV74" s="364">
        <v>27320.151836679044</v>
      </c>
      <c r="FW74" s="364">
        <v>27453.684303291713</v>
      </c>
      <c r="FX74" s="364">
        <f>'EDE''s'!C74</f>
        <v>27440.255252051906</v>
      </c>
      <c r="FY74" s="414"/>
      <c r="FZ74" s="414"/>
      <c r="GA74" s="414"/>
      <c r="GB74" s="414"/>
      <c r="GC74" s="414"/>
      <c r="GD74" s="414"/>
      <c r="GE74" s="414"/>
      <c r="GF74" s="414"/>
    </row>
    <row r="75" spans="1:188" ht="13.8" x14ac:dyDescent="0.3">
      <c r="A75" s="46"/>
      <c r="B75" s="21" t="s">
        <v>19</v>
      </c>
      <c r="C75" s="288">
        <v>32693.071358219997</v>
      </c>
      <c r="D75" s="288">
        <v>32585.117647800012</v>
      </c>
      <c r="E75" s="288">
        <v>107.95371041998442</v>
      </c>
      <c r="F75" s="285">
        <v>3.3129759292820269E-3</v>
      </c>
      <c r="G75" s="284"/>
      <c r="H75" s="288">
        <v>32548.662662659925</v>
      </c>
      <c r="I75" s="288">
        <v>36.454985140087956</v>
      </c>
      <c r="J75" s="285">
        <v>1.1200148380261839E-3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364">
        <v>3149.334461970001</v>
      </c>
      <c r="FH75" s="364">
        <v>3225.7277206199988</v>
      </c>
      <c r="FI75" s="364">
        <v>3320.9421693199988</v>
      </c>
      <c r="FJ75" s="364">
        <v>3261.0669826000017</v>
      </c>
      <c r="FK75" s="410"/>
      <c r="FL75" s="22">
        <v>18682.709360000001</v>
      </c>
      <c r="FM75" s="22">
        <v>20584.688171699996</v>
      </c>
      <c r="FN75" s="22">
        <v>24115.425684480004</v>
      </c>
      <c r="FO75" s="22">
        <v>25559.455379240037</v>
      </c>
      <c r="FP75" s="22">
        <v>26503.918056309987</v>
      </c>
      <c r="FQ75" s="22">
        <v>27282.553609680719</v>
      </c>
      <c r="FR75" s="22">
        <v>27807.745064560004</v>
      </c>
      <c r="FS75" s="309">
        <v>28601.488740749999</v>
      </c>
      <c r="FT75" s="364">
        <v>30768.575282359987</v>
      </c>
      <c r="FU75" s="364">
        <v>32510.249579599968</v>
      </c>
      <c r="FV75" s="364">
        <v>35545.980741859916</v>
      </c>
      <c r="FW75" s="364">
        <v>35334.058580070014</v>
      </c>
      <c r="FX75" s="364">
        <f>'EDE''s'!C75</f>
        <v>32693.071358219997</v>
      </c>
      <c r="FY75" s="414"/>
      <c r="FZ75" s="414"/>
      <c r="GA75" s="414"/>
      <c r="GB75" s="414"/>
      <c r="GC75" s="414"/>
      <c r="GD75" s="414"/>
      <c r="GE75" s="414"/>
      <c r="GF75" s="414"/>
    </row>
    <row r="76" spans="1:188" ht="13.8" x14ac:dyDescent="0.3">
      <c r="A76" s="46"/>
      <c r="B76" s="21" t="s">
        <v>20</v>
      </c>
      <c r="C76" s="288">
        <v>21702.189140419996</v>
      </c>
      <c r="D76" s="288">
        <v>19893.208596410001</v>
      </c>
      <c r="E76" s="288">
        <v>1808.9805440099954</v>
      </c>
      <c r="F76" s="285">
        <v>9.0934578765561755E-2</v>
      </c>
      <c r="G76" s="284"/>
      <c r="H76" s="288">
        <v>22939.9428725</v>
      </c>
      <c r="I76" s="288">
        <v>-3046.7342760899992</v>
      </c>
      <c r="J76" s="285">
        <v>-0.13281350755857246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364">
        <v>1983.637963610001</v>
      </c>
      <c r="FH76" s="364">
        <v>2160.4975669799974</v>
      </c>
      <c r="FI76" s="364">
        <v>2435.238481469999</v>
      </c>
      <c r="FJ76" s="364">
        <v>2349.7221471399985</v>
      </c>
      <c r="FK76" s="410"/>
      <c r="FL76" s="22">
        <v>10897.279702965858</v>
      </c>
      <c r="FM76" s="22">
        <v>13809.047238401487</v>
      </c>
      <c r="FN76" s="22">
        <v>16838.28502245</v>
      </c>
      <c r="FO76" s="22">
        <v>17874.002670530004</v>
      </c>
      <c r="FP76" s="22">
        <v>19430.092245579999</v>
      </c>
      <c r="FQ76" s="22">
        <v>20672.899735449992</v>
      </c>
      <c r="FR76" s="22">
        <v>22316.905444019991</v>
      </c>
      <c r="FS76" s="309">
        <v>21779.561626289989</v>
      </c>
      <c r="FT76" s="364">
        <v>22036.686954889992</v>
      </c>
      <c r="FU76" s="364">
        <v>23796.886480660003</v>
      </c>
      <c r="FV76" s="364">
        <v>24802.632502050001</v>
      </c>
      <c r="FW76" s="364">
        <v>21629.047100510001</v>
      </c>
      <c r="FX76" s="364">
        <f>'EDE''s'!C76</f>
        <v>21702.189140419996</v>
      </c>
      <c r="FY76" s="414"/>
      <c r="FZ76" s="414"/>
      <c r="GA76" s="414"/>
      <c r="GB76" s="414"/>
      <c r="GC76" s="414"/>
      <c r="GD76" s="414"/>
      <c r="GE76" s="414"/>
      <c r="GF76" s="414"/>
    </row>
    <row r="77" spans="1:188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410"/>
      <c r="FL77" s="25"/>
      <c r="FM77" s="25"/>
      <c r="FN77" s="25"/>
      <c r="FO77" s="25"/>
      <c r="FP77" s="25"/>
      <c r="FQ77" s="25"/>
      <c r="FR77" s="25"/>
      <c r="FS77" s="306"/>
      <c r="FT77" s="306"/>
      <c r="FU77" s="306"/>
      <c r="FV77" s="306"/>
      <c r="FW77" s="306"/>
      <c r="FX77" s="306"/>
      <c r="FY77" s="414"/>
      <c r="FZ77" s="414"/>
      <c r="GA77" s="414"/>
      <c r="GB77" s="414"/>
      <c r="GC77" s="414"/>
      <c r="GD77" s="414"/>
      <c r="GE77" s="414"/>
      <c r="GF77" s="414"/>
    </row>
    <row r="78" spans="1:188" ht="13.8" x14ac:dyDescent="0.3">
      <c r="A78" s="46"/>
      <c r="B78" s="42" t="s">
        <v>33</v>
      </c>
      <c r="C78" s="286">
        <v>9730.5924812712328</v>
      </c>
      <c r="D78" s="286">
        <v>9102.8358288615091</v>
      </c>
      <c r="E78" s="286">
        <v>627.75665240972376</v>
      </c>
      <c r="F78" s="289">
        <v>6.8962756685049129E-2</v>
      </c>
      <c r="G78" s="287"/>
      <c r="H78" s="286">
        <v>9772.9535337169436</v>
      </c>
      <c r="I78" s="286">
        <v>-670.11770485543457</v>
      </c>
      <c r="J78" s="289">
        <v>-6.8568596232808338E-2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362">
        <v>942.49151397815285</v>
      </c>
      <c r="FH78" s="362">
        <v>951.22347289384709</v>
      </c>
      <c r="FI78" s="362">
        <v>995.95240075466404</v>
      </c>
      <c r="FJ78" s="362">
        <v>968.83878028633444</v>
      </c>
      <c r="FK78" s="410"/>
      <c r="FL78" s="28">
        <v>6155.3771597710293</v>
      </c>
      <c r="FM78" s="28">
        <v>6494.4272658093423</v>
      </c>
      <c r="FN78" s="28">
        <v>6574.1833367169411</v>
      </c>
      <c r="FO78" s="28">
        <v>7041.0159474308266</v>
      </c>
      <c r="FP78" s="28">
        <v>7663.1340519061396</v>
      </c>
      <c r="FQ78" s="28">
        <v>8131.4358118788332</v>
      </c>
      <c r="FR78" s="28">
        <v>8736.4337677044205</v>
      </c>
      <c r="FS78" s="308">
        <v>9000.3263717112222</v>
      </c>
      <c r="FT78" s="362">
        <v>9355.3321516507513</v>
      </c>
      <c r="FU78" s="362">
        <v>9853.9979584123794</v>
      </c>
      <c r="FV78" s="362">
        <v>10665.574469064686</v>
      </c>
      <c r="FW78" s="362">
        <v>10018.511787522486</v>
      </c>
      <c r="FX78" s="362">
        <f>'EDE''s'!C78</f>
        <v>9730.5924812712328</v>
      </c>
      <c r="FY78" s="414"/>
      <c r="FZ78" s="414"/>
      <c r="GA78" s="414"/>
      <c r="GB78" s="414"/>
      <c r="GC78" s="414"/>
      <c r="GD78" s="414"/>
      <c r="GE78" s="414"/>
      <c r="GF78" s="414"/>
    </row>
    <row r="79" spans="1:188" ht="13.8" x14ac:dyDescent="0.3">
      <c r="A79" s="46"/>
      <c r="B79" s="21" t="s">
        <v>18</v>
      </c>
      <c r="C79" s="288">
        <v>3441.0422884136369</v>
      </c>
      <c r="D79" s="288">
        <v>3170.4732469035389</v>
      </c>
      <c r="E79" s="288">
        <v>270.56904151009803</v>
      </c>
      <c r="F79" s="285">
        <v>8.5340269555767692E-2</v>
      </c>
      <c r="G79" s="284"/>
      <c r="H79" s="288">
        <v>3127.3962522121274</v>
      </c>
      <c r="I79" s="288">
        <v>43.076994691411528</v>
      </c>
      <c r="J79" s="285">
        <v>1.3774076329771616E-2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364">
        <v>334.76762108400038</v>
      </c>
      <c r="FH79" s="364">
        <v>336.82463032754453</v>
      </c>
      <c r="FI79" s="364">
        <v>367.0384815813299</v>
      </c>
      <c r="FJ79" s="364">
        <v>334.04711614997035</v>
      </c>
      <c r="FK79" s="410"/>
      <c r="FL79" s="22">
        <v>2000.9800000000005</v>
      </c>
      <c r="FM79" s="22">
        <v>1964.96</v>
      </c>
      <c r="FN79" s="22">
        <v>1929.62</v>
      </c>
      <c r="FO79" s="22">
        <v>2018.69</v>
      </c>
      <c r="FP79" s="22">
        <v>2306.2782574394842</v>
      </c>
      <c r="FQ79" s="22">
        <v>2487.5294282154368</v>
      </c>
      <c r="FR79" s="22">
        <v>2701.6187806623257</v>
      </c>
      <c r="FS79" s="309">
        <v>2886.5309402287917</v>
      </c>
      <c r="FT79" s="364">
        <v>2984.4452767177991</v>
      </c>
      <c r="FU79" s="364">
        <v>3173.1149517605263</v>
      </c>
      <c r="FV79" s="364">
        <v>3431.2693325959399</v>
      </c>
      <c r="FW79" s="364">
        <v>3490.3789559142197</v>
      </c>
      <c r="FX79" s="364">
        <f>'EDE''s'!C79</f>
        <v>3441.0422884136369</v>
      </c>
      <c r="FY79" s="414"/>
      <c r="FZ79" s="414"/>
      <c r="GA79" s="414"/>
      <c r="GB79" s="414"/>
      <c r="GC79" s="414"/>
      <c r="GD79" s="414"/>
      <c r="GE79" s="414"/>
      <c r="GF79" s="414"/>
    </row>
    <row r="80" spans="1:188" ht="13.8" x14ac:dyDescent="0.3">
      <c r="A80" s="46"/>
      <c r="B80" s="21" t="s">
        <v>19</v>
      </c>
      <c r="C80" s="288">
        <v>3815.9056620000001</v>
      </c>
      <c r="D80" s="288">
        <v>3617.1642750000005</v>
      </c>
      <c r="E80" s="288">
        <v>198.74138699999958</v>
      </c>
      <c r="F80" s="285">
        <v>5.4943975968578189E-2</v>
      </c>
      <c r="G80" s="284"/>
      <c r="H80" s="288">
        <v>3714.3099689999999</v>
      </c>
      <c r="I80" s="288">
        <v>-97.145693999999366</v>
      </c>
      <c r="J80" s="285">
        <v>-2.6154439131571405E-2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364">
        <v>378.80745899999994</v>
      </c>
      <c r="FH80" s="364">
        <v>372.97767099999999</v>
      </c>
      <c r="FI80" s="364">
        <v>383.93054699999999</v>
      </c>
      <c r="FJ80" s="364">
        <v>386.07771200000002</v>
      </c>
      <c r="FK80" s="410"/>
      <c r="FL80" s="22">
        <v>2443.663</v>
      </c>
      <c r="FM80" s="22">
        <v>2567.0860000000002</v>
      </c>
      <c r="FN80" s="22">
        <v>2636.7179999999998</v>
      </c>
      <c r="FO80" s="22">
        <v>2878.02</v>
      </c>
      <c r="FP80" s="22">
        <v>2979.7055660000001</v>
      </c>
      <c r="FQ80" s="22">
        <v>3159.6641019999997</v>
      </c>
      <c r="FR80" s="22">
        <v>3241.4290780000001</v>
      </c>
      <c r="FS80" s="309">
        <v>3386.3999859999999</v>
      </c>
      <c r="FT80" s="364">
        <v>3544.0609490000002</v>
      </c>
      <c r="FU80" s="364">
        <v>3699.2912919999994</v>
      </c>
      <c r="FV80" s="364">
        <v>4067.8249289999999</v>
      </c>
      <c r="FW80" s="364">
        <v>3972.8265000000006</v>
      </c>
      <c r="FX80" s="364">
        <f>'EDE''s'!C80</f>
        <v>3815.9056620000001</v>
      </c>
      <c r="FY80" s="414"/>
      <c r="FZ80" s="414"/>
      <c r="GA80" s="414"/>
      <c r="GB80" s="414"/>
      <c r="GC80" s="414"/>
      <c r="GD80" s="414"/>
      <c r="GE80" s="414"/>
      <c r="GF80" s="414"/>
    </row>
    <row r="81" spans="1:188" ht="13.8" x14ac:dyDescent="0.3">
      <c r="A81" s="46"/>
      <c r="B81" s="21" t="s">
        <v>20</v>
      </c>
      <c r="C81" s="288">
        <v>2473.6445308575976</v>
      </c>
      <c r="D81" s="288">
        <v>2315.1983069579715</v>
      </c>
      <c r="E81" s="288">
        <v>158.44622389962615</v>
      </c>
      <c r="F81" s="285">
        <v>6.8437430790891846E-2</v>
      </c>
      <c r="G81" s="284"/>
      <c r="H81" s="288">
        <v>2931.2473125048164</v>
      </c>
      <c r="I81" s="288">
        <v>-616.04900554684491</v>
      </c>
      <c r="J81" s="285">
        <v>-0.21016616473088287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364">
        <v>228.91643389415259</v>
      </c>
      <c r="FH81" s="364">
        <v>241.42117156630266</v>
      </c>
      <c r="FI81" s="364">
        <v>244.9833721733342</v>
      </c>
      <c r="FJ81" s="364">
        <v>248.71395213636401</v>
      </c>
      <c r="FK81" s="410"/>
      <c r="FL81" s="22">
        <v>1710.7341597710295</v>
      </c>
      <c r="FM81" s="22">
        <v>1962.381265809342</v>
      </c>
      <c r="FN81" s="22">
        <v>2007.8453367169416</v>
      </c>
      <c r="FO81" s="22">
        <v>2144.3059474308266</v>
      </c>
      <c r="FP81" s="22">
        <v>2377.1502284666544</v>
      </c>
      <c r="FQ81" s="22">
        <v>2484.2422816633975</v>
      </c>
      <c r="FR81" s="22">
        <v>2793.3859090420938</v>
      </c>
      <c r="FS81" s="309">
        <v>2727.3954454824307</v>
      </c>
      <c r="FT81" s="364">
        <v>2826.8259259329511</v>
      </c>
      <c r="FU81" s="364">
        <v>2981.5917146518532</v>
      </c>
      <c r="FV81" s="364">
        <v>3166.4802074687477</v>
      </c>
      <c r="FW81" s="364">
        <v>2555.3063316082671</v>
      </c>
      <c r="FX81" s="364">
        <f>'EDE''s'!C81</f>
        <v>2473.6445308575976</v>
      </c>
      <c r="FY81" s="414"/>
      <c r="FZ81" s="414"/>
      <c r="GA81" s="414"/>
      <c r="GB81" s="414"/>
      <c r="GC81" s="414"/>
      <c r="GD81" s="414"/>
      <c r="GE81" s="414"/>
      <c r="GF81" s="414"/>
    </row>
    <row r="82" spans="1:188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410"/>
      <c r="FL82" s="25"/>
      <c r="FM82" s="25"/>
      <c r="FN82" s="25"/>
      <c r="FO82" s="25"/>
      <c r="FP82" s="25"/>
      <c r="FQ82" s="25"/>
      <c r="FR82" s="25"/>
      <c r="FS82" s="306"/>
      <c r="FT82" s="306"/>
      <c r="FU82" s="306"/>
      <c r="FV82" s="306"/>
      <c r="FW82" s="306"/>
      <c r="FX82" s="306"/>
      <c r="FY82" s="414"/>
      <c r="FZ82" s="414"/>
      <c r="GA82" s="414"/>
      <c r="GB82" s="414"/>
      <c r="GC82" s="414"/>
      <c r="GD82" s="414"/>
      <c r="GE82" s="414"/>
      <c r="GF82" s="414"/>
    </row>
    <row r="83" spans="1:188" ht="13.8" x14ac:dyDescent="0.3">
      <c r="A83" s="46"/>
      <c r="B83" s="42" t="s">
        <v>34</v>
      </c>
      <c r="C83" s="286">
        <v>1356.3256915195971</v>
      </c>
      <c r="D83" s="286">
        <v>1287.7186238114618</v>
      </c>
      <c r="E83" s="286">
        <v>68.607067708135219</v>
      </c>
      <c r="F83" s="289">
        <v>5.3277996015207246E-2</v>
      </c>
      <c r="G83" s="287"/>
      <c r="H83" s="286">
        <v>1514.6717197756875</v>
      </c>
      <c r="I83" s="286">
        <v>-226.95309596422567</v>
      </c>
      <c r="J83" s="289">
        <v>-0.14983649130112225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362">
        <v>131.51302167956288</v>
      </c>
      <c r="FH83" s="362">
        <v>136.07541083248191</v>
      </c>
      <c r="FI83" s="362">
        <v>142.39218713968688</v>
      </c>
      <c r="FJ83" s="362">
        <v>139.51989875480052</v>
      </c>
      <c r="FK83" s="410"/>
      <c r="FL83" s="28">
        <v>1095.8884688221433</v>
      </c>
      <c r="FM83" s="28">
        <v>1216.1970546141833</v>
      </c>
      <c r="FN83" s="28">
        <v>1365.0636999610501</v>
      </c>
      <c r="FO83" s="28">
        <v>1466.0875168173238</v>
      </c>
      <c r="FP83" s="28">
        <v>1473.9908453477676</v>
      </c>
      <c r="FQ83" s="28">
        <v>1494.884319092153</v>
      </c>
      <c r="FR83" s="28">
        <v>1523.7371134225809</v>
      </c>
      <c r="FS83" s="308">
        <v>1512.3970183109104</v>
      </c>
      <c r="FT83" s="362">
        <v>1536.8172901942589</v>
      </c>
      <c r="FU83" s="362">
        <v>1574.3126168621695</v>
      </c>
      <c r="FV83" s="362">
        <v>1648.6731588352714</v>
      </c>
      <c r="FW83" s="362">
        <v>1409.2156953654701</v>
      </c>
      <c r="FX83" s="362">
        <f>'EDE''s'!C83</f>
        <v>1356.3256915195971</v>
      </c>
      <c r="FY83" s="414"/>
      <c r="FZ83" s="414"/>
      <c r="GA83" s="414"/>
      <c r="GB83" s="414"/>
      <c r="GC83" s="414"/>
      <c r="GD83" s="414"/>
      <c r="GE83" s="414"/>
      <c r="GF83" s="414"/>
    </row>
    <row r="84" spans="1:188" ht="13.8" x14ac:dyDescent="0.3">
      <c r="A84" s="46"/>
      <c r="B84" s="21" t="s">
        <v>18</v>
      </c>
      <c r="C84" s="288">
        <v>457.60591318359303</v>
      </c>
      <c r="D84" s="288">
        <v>427.07122220313272</v>
      </c>
      <c r="E84" s="288">
        <v>30.534690980460311</v>
      </c>
      <c r="F84" s="285">
        <v>7.1497889328484776E-2</v>
      </c>
      <c r="G84" s="284"/>
      <c r="H84" s="288">
        <v>473.63638625911102</v>
      </c>
      <c r="I84" s="288">
        <v>-46.5651640559783</v>
      </c>
      <c r="J84" s="285">
        <v>-9.8314161257247706E-2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364">
        <v>45.369816623200087</v>
      </c>
      <c r="FH84" s="364">
        <v>47.215044078836598</v>
      </c>
      <c r="FI84" s="364">
        <v>49.789854781563818</v>
      </c>
      <c r="FJ84" s="364">
        <v>46.341236597703023</v>
      </c>
      <c r="FK84" s="410"/>
      <c r="FL84" s="22">
        <v>334.9428833306971</v>
      </c>
      <c r="FM84" s="22">
        <v>364.98795570034252</v>
      </c>
      <c r="FN84" s="22">
        <v>395.23410362094472</v>
      </c>
      <c r="FO84" s="22">
        <v>418.731872704875</v>
      </c>
      <c r="FP84" s="22">
        <v>429.60476280680211</v>
      </c>
      <c r="FQ84" s="22">
        <v>444.67145623172127</v>
      </c>
      <c r="FR84" s="22">
        <v>459.00154887984331</v>
      </c>
      <c r="FS84" s="309">
        <v>469.95013817005218</v>
      </c>
      <c r="FT84" s="364">
        <v>478.86842735700981</v>
      </c>
      <c r="FU84" s="364">
        <v>494.65142089930782</v>
      </c>
      <c r="FV84" s="364">
        <v>518.29111196077531</v>
      </c>
      <c r="FW84" s="364">
        <v>468.36374326704464</v>
      </c>
      <c r="FX84" s="364">
        <f>'EDE''s'!C84</f>
        <v>457.60591318359303</v>
      </c>
      <c r="FY84" s="414"/>
      <c r="FZ84" s="414"/>
      <c r="GA84" s="414"/>
      <c r="GB84" s="414"/>
      <c r="GC84" s="414"/>
      <c r="GD84" s="414"/>
      <c r="GE84" s="414"/>
      <c r="GF84" s="414"/>
    </row>
    <row r="85" spans="1:188" ht="13.8" x14ac:dyDescent="0.3">
      <c r="A85" s="46"/>
      <c r="B85" s="21" t="s">
        <v>19</v>
      </c>
      <c r="C85" s="288">
        <v>551.64726402301062</v>
      </c>
      <c r="D85" s="288">
        <v>536.90073100894517</v>
      </c>
      <c r="E85" s="288">
        <v>14.746533014065449</v>
      </c>
      <c r="F85" s="285">
        <v>2.7466032661854878E-2</v>
      </c>
      <c r="G85" s="284"/>
      <c r="H85" s="288">
        <v>603.02616486735599</v>
      </c>
      <c r="I85" s="288">
        <v>-66.125433858410815</v>
      </c>
      <c r="J85" s="285">
        <v>-0.109655994566929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364">
        <v>53.97019741588128</v>
      </c>
      <c r="FH85" s="364">
        <v>54.463212641522112</v>
      </c>
      <c r="FI85" s="364">
        <v>56.787505045293166</v>
      </c>
      <c r="FJ85" s="364">
        <v>57.593003629305699</v>
      </c>
      <c r="FK85" s="410"/>
      <c r="FL85" s="22">
        <v>474.07473405180315</v>
      </c>
      <c r="FM85" s="22">
        <v>509.06323756847081</v>
      </c>
      <c r="FN85" s="22">
        <v>577.2827848802192</v>
      </c>
      <c r="FO85" s="22">
        <v>620.84368373034238</v>
      </c>
      <c r="FP85" s="22">
        <v>604.43133690888635</v>
      </c>
      <c r="FQ85" s="22">
        <v>604.49305097314254</v>
      </c>
      <c r="FR85" s="22">
        <v>592.9968155520852</v>
      </c>
      <c r="FS85" s="309">
        <v>595.38658080274695</v>
      </c>
      <c r="FT85" s="364">
        <v>621.0931446297717</v>
      </c>
      <c r="FU85" s="364">
        <v>628.76083517636209</v>
      </c>
      <c r="FV85" s="364">
        <v>657.28054578389401</v>
      </c>
      <c r="FW85" s="364">
        <v>586.52731449598559</v>
      </c>
      <c r="FX85" s="364">
        <f>'EDE''s'!C85</f>
        <v>551.64726402301062</v>
      </c>
      <c r="FY85" s="414"/>
      <c r="FZ85" s="414"/>
      <c r="GA85" s="414"/>
      <c r="GB85" s="414"/>
      <c r="GC85" s="414"/>
      <c r="GD85" s="414"/>
      <c r="GE85" s="414"/>
      <c r="GF85" s="414"/>
    </row>
    <row r="86" spans="1:188" ht="13.8" x14ac:dyDescent="0.3">
      <c r="A86" s="46"/>
      <c r="B86" s="21" t="s">
        <v>20</v>
      </c>
      <c r="C86" s="288">
        <v>347.07251431299352</v>
      </c>
      <c r="D86" s="288">
        <v>323.74667059938417</v>
      </c>
      <c r="E86" s="288">
        <v>23.325843713609345</v>
      </c>
      <c r="F86" s="285">
        <v>7.2049679060556537E-2</v>
      </c>
      <c r="G86" s="284"/>
      <c r="H86" s="288">
        <v>438.00916864922033</v>
      </c>
      <c r="I86" s="288">
        <v>-114.26249804983615</v>
      </c>
      <c r="J86" s="285">
        <v>-0.26086782247552281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364">
        <v>32.173007640481515</v>
      </c>
      <c r="FH86" s="364">
        <v>34.397154112123189</v>
      </c>
      <c r="FI86" s="364">
        <v>35.814827312829898</v>
      </c>
      <c r="FJ86" s="364">
        <v>35.585658527791807</v>
      </c>
      <c r="FK86" s="410"/>
      <c r="FL86" s="22">
        <v>286.87085143964316</v>
      </c>
      <c r="FM86" s="22">
        <v>342.14586134537012</v>
      </c>
      <c r="FN86" s="22">
        <v>392.54681145988604</v>
      </c>
      <c r="FO86" s="22">
        <v>426.51196038210645</v>
      </c>
      <c r="FP86" s="22">
        <v>439.95474563207898</v>
      </c>
      <c r="FQ86" s="22">
        <v>445.7198118872891</v>
      </c>
      <c r="FR86" s="22">
        <v>471.73874899065231</v>
      </c>
      <c r="FS86" s="309">
        <v>447.06029933811118</v>
      </c>
      <c r="FT86" s="364">
        <v>436.85571820747737</v>
      </c>
      <c r="FU86" s="364">
        <v>450.90036078649956</v>
      </c>
      <c r="FV86" s="364">
        <v>473.10150109060214</v>
      </c>
      <c r="FW86" s="364">
        <v>354.32463760243996</v>
      </c>
      <c r="FX86" s="364">
        <f>'EDE''s'!C86</f>
        <v>347.07251431299352</v>
      </c>
      <c r="FY86" s="414"/>
      <c r="FZ86" s="414"/>
      <c r="GA86" s="414"/>
      <c r="GB86" s="414"/>
      <c r="GC86" s="414"/>
      <c r="GD86" s="414"/>
      <c r="GE86" s="414"/>
      <c r="GF86" s="414"/>
    </row>
    <row r="87" spans="1:188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410"/>
      <c r="FL87" s="25"/>
      <c r="FM87" s="25"/>
      <c r="FN87" s="25"/>
      <c r="FO87" s="25"/>
      <c r="FP87" s="25"/>
      <c r="FQ87" s="25"/>
      <c r="FR87" s="25"/>
      <c r="FS87" s="306"/>
      <c r="FT87" s="306"/>
      <c r="FU87" s="306"/>
      <c r="FV87" s="306"/>
      <c r="FW87" s="306"/>
      <c r="FX87" s="306"/>
      <c r="FY87" s="414"/>
      <c r="FZ87" s="414"/>
      <c r="GA87" s="414"/>
      <c r="GB87" s="414"/>
      <c r="GC87" s="414"/>
      <c r="GD87" s="414"/>
      <c r="GE87" s="414"/>
      <c r="GF87" s="414"/>
    </row>
    <row r="88" spans="1:188" ht="13.8" x14ac:dyDescent="0.3">
      <c r="A88" s="46"/>
      <c r="B88" s="42" t="s">
        <v>35</v>
      </c>
      <c r="C88" s="286">
        <v>77546.73835153805</v>
      </c>
      <c r="D88" s="286">
        <v>72747.993980054962</v>
      </c>
      <c r="E88" s="286">
        <v>4798.7443714830879</v>
      </c>
      <c r="F88" s="289">
        <v>6.5963940844867022E-2</v>
      </c>
      <c r="G88" s="287"/>
      <c r="H88" s="286">
        <v>77515.370021245617</v>
      </c>
      <c r="I88" s="286">
        <v>-4767.3760411906551</v>
      </c>
      <c r="J88" s="289">
        <v>-6.1502332245643672E-2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362">
        <v>7520.6216186920537</v>
      </c>
      <c r="FH88" s="362">
        <v>7723.5042434408406</v>
      </c>
      <c r="FI88" s="362">
        <v>8047.166303230978</v>
      </c>
      <c r="FJ88" s="362">
        <v>7913.7918892102944</v>
      </c>
      <c r="FK88" s="410"/>
      <c r="FL88" s="28">
        <v>39455.470150076653</v>
      </c>
      <c r="FM88" s="28">
        <v>44817.683198382292</v>
      </c>
      <c r="FN88" s="28">
        <v>52051.291558866578</v>
      </c>
      <c r="FO88" s="28">
        <v>57669.908787354914</v>
      </c>
      <c r="FP88" s="28">
        <v>61648.14056198184</v>
      </c>
      <c r="FQ88" s="28">
        <v>65115.392070996917</v>
      </c>
      <c r="FR88" s="28">
        <v>68655.326268303936</v>
      </c>
      <c r="FS88" s="308">
        <v>69684.51339149967</v>
      </c>
      <c r="FT88" s="362">
        <v>73088.351973067605</v>
      </c>
      <c r="FU88" s="362">
        <v>77995.983860706416</v>
      </c>
      <c r="FV88" s="362">
        <v>84605.412962176008</v>
      </c>
      <c r="FW88" s="362">
        <v>79833.144306555565</v>
      </c>
      <c r="FX88" s="362">
        <f>'EDE''s'!C88</f>
        <v>77546.73835153805</v>
      </c>
      <c r="FY88" s="414"/>
      <c r="FZ88" s="414"/>
      <c r="GA88" s="414"/>
      <c r="GB88" s="414"/>
      <c r="GC88" s="414"/>
      <c r="GD88" s="414"/>
      <c r="GE88" s="414"/>
      <c r="GF88" s="414"/>
    </row>
    <row r="89" spans="1:188" ht="13.8" x14ac:dyDescent="0.3">
      <c r="A89" s="46"/>
      <c r="B89" s="21" t="s">
        <v>18</v>
      </c>
      <c r="C89" s="288">
        <v>26161.424799635319</v>
      </c>
      <c r="D89" s="288">
        <v>24154.910855313516</v>
      </c>
      <c r="E89" s="288">
        <v>2006.5139443218031</v>
      </c>
      <c r="F89" s="285">
        <v>8.3068571701245458E-2</v>
      </c>
      <c r="G89" s="284"/>
      <c r="H89" s="288">
        <v>24247.818541473909</v>
      </c>
      <c r="I89" s="288">
        <v>-92.907686160393496</v>
      </c>
      <c r="J89" s="285">
        <v>-3.8315894686147749E-3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364">
        <v>2594.490031290617</v>
      </c>
      <c r="FH89" s="364">
        <v>2679.8786868706866</v>
      </c>
      <c r="FI89" s="364">
        <v>2813.8288321107757</v>
      </c>
      <c r="FJ89" s="364">
        <v>2628.5490858002718</v>
      </c>
      <c r="FK89" s="410"/>
      <c r="FL89" s="22">
        <v>12059.298185819998</v>
      </c>
      <c r="FM89" s="22">
        <v>13448.668668157487</v>
      </c>
      <c r="FN89" s="22">
        <v>15069.441646599998</v>
      </c>
      <c r="FO89" s="22">
        <v>16471.174026165034</v>
      </c>
      <c r="FP89" s="22">
        <v>17971.844881231988</v>
      </c>
      <c r="FQ89" s="22">
        <v>19372.085087491665</v>
      </c>
      <c r="FR89" s="22">
        <v>20684.713782883744</v>
      </c>
      <c r="FS89" s="309">
        <v>21655.536429629155</v>
      </c>
      <c r="FT89" s="364">
        <v>22774.447088626988</v>
      </c>
      <c r="FU89" s="364">
        <v>24508.302816465213</v>
      </c>
      <c r="FV89" s="364">
        <v>26610.50900929411</v>
      </c>
      <c r="FW89" s="364">
        <v>26562.900738163964</v>
      </c>
      <c r="FX89" s="364">
        <f>'EDE''s'!C89</f>
        <v>26161.424799635319</v>
      </c>
      <c r="FY89" s="414"/>
      <c r="FZ89" s="414"/>
      <c r="GA89" s="414"/>
      <c r="GB89" s="414"/>
      <c r="GC89" s="414"/>
      <c r="GD89" s="414"/>
      <c r="GE89" s="414"/>
      <c r="GF89" s="414"/>
    </row>
    <row r="90" spans="1:188" ht="13.8" x14ac:dyDescent="0.3">
      <c r="A90" s="46"/>
      <c r="B90" s="21" t="s">
        <v>19</v>
      </c>
      <c r="C90" s="288">
        <v>31540.971908202751</v>
      </c>
      <c r="D90" s="288">
        <v>30312.938293441446</v>
      </c>
      <c r="E90" s="288">
        <v>1228.0336147613052</v>
      </c>
      <c r="F90" s="285">
        <v>4.0511863379044465E-2</v>
      </c>
      <c r="G90" s="284"/>
      <c r="H90" s="288">
        <v>30866.065057771691</v>
      </c>
      <c r="I90" s="288">
        <v>-553.12676433024535</v>
      </c>
      <c r="J90" s="285">
        <v>-1.792022284975308E-2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364">
        <v>3086.3060423014367</v>
      </c>
      <c r="FH90" s="364">
        <v>3091.2774863201535</v>
      </c>
      <c r="FI90" s="364">
        <v>3209.2947388802027</v>
      </c>
      <c r="FJ90" s="364">
        <v>3266.7673146600264</v>
      </c>
      <c r="FK90" s="410"/>
      <c r="FL90" s="22">
        <v>17068.412880000003</v>
      </c>
      <c r="FM90" s="22">
        <v>18761.427143443427</v>
      </c>
      <c r="FN90" s="22">
        <v>22013.89323153994</v>
      </c>
      <c r="FO90" s="22">
        <v>24420.985091349976</v>
      </c>
      <c r="FP90" s="22">
        <v>25280.67135313007</v>
      </c>
      <c r="FQ90" s="22">
        <v>26329.170566285549</v>
      </c>
      <c r="FR90" s="22">
        <v>26718.558441010664</v>
      </c>
      <c r="FS90" s="309">
        <v>27438.139740600967</v>
      </c>
      <c r="FT90" s="364">
        <v>29538.398706320673</v>
      </c>
      <c r="FU90" s="364">
        <v>31151.894055961231</v>
      </c>
      <c r="FV90" s="364">
        <v>33736.6752029419</v>
      </c>
      <c r="FW90" s="364">
        <v>33206.932360121602</v>
      </c>
      <c r="FX90" s="364">
        <f>'EDE''s'!C90</f>
        <v>31540.971908202751</v>
      </c>
      <c r="FY90" s="414"/>
      <c r="FZ90" s="414"/>
      <c r="GA90" s="414"/>
      <c r="GB90" s="414"/>
      <c r="GC90" s="414"/>
      <c r="GD90" s="414"/>
      <c r="GE90" s="414"/>
      <c r="GF90" s="414"/>
    </row>
    <row r="91" spans="1:188" ht="13.8" x14ac:dyDescent="0.3">
      <c r="A91" s="46"/>
      <c r="B91" s="21" t="s">
        <v>20</v>
      </c>
      <c r="C91" s="288">
        <v>19844.341643699976</v>
      </c>
      <c r="D91" s="288">
        <v>18280.1448313</v>
      </c>
      <c r="E91" s="288">
        <v>1564.1968123999759</v>
      </c>
      <c r="F91" s="285">
        <v>8.5568075463039836E-2</v>
      </c>
      <c r="G91" s="284"/>
      <c r="H91" s="288">
        <v>22401.486422000002</v>
      </c>
      <c r="I91" s="288">
        <v>-4121.3415907000017</v>
      </c>
      <c r="J91" s="285">
        <v>-0.18397625555117289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364">
        <v>1839.8255451</v>
      </c>
      <c r="FH91" s="364">
        <v>1952.3480702500001</v>
      </c>
      <c r="FI91" s="364">
        <v>2024.0427322400001</v>
      </c>
      <c r="FJ91" s="364">
        <v>2018.4754887499957</v>
      </c>
      <c r="FK91" s="410"/>
      <c r="FL91" s="22">
        <v>10327.759084256646</v>
      </c>
      <c r="FM91" s="22">
        <v>12607.587386781375</v>
      </c>
      <c r="FN91" s="22">
        <v>14967.956680726642</v>
      </c>
      <c r="FO91" s="22">
        <v>16777.749669839901</v>
      </c>
      <c r="FP91" s="22">
        <v>18395.624327619778</v>
      </c>
      <c r="FQ91" s="22">
        <v>19414.136417219699</v>
      </c>
      <c r="FR91" s="22">
        <v>21252.054044409531</v>
      </c>
      <c r="FS91" s="309">
        <v>20590.837221269554</v>
      </c>
      <c r="FT91" s="364">
        <v>20775.506178119947</v>
      </c>
      <c r="FU91" s="364">
        <v>22335.786988279971</v>
      </c>
      <c r="FV91" s="364">
        <v>24258.228749940001</v>
      </c>
      <c r="FW91" s="364">
        <v>20063.311208269999</v>
      </c>
      <c r="FX91" s="364">
        <f>'EDE''s'!C91</f>
        <v>19844.341643699976</v>
      </c>
      <c r="FY91" s="414"/>
      <c r="FZ91" s="414"/>
      <c r="GA91" s="414"/>
      <c r="GB91" s="414"/>
      <c r="GC91" s="414"/>
      <c r="GD91" s="414"/>
      <c r="GE91" s="414"/>
      <c r="GF91" s="414"/>
    </row>
    <row r="92" spans="1:188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410"/>
      <c r="FL92" s="25"/>
      <c r="FM92" s="25"/>
      <c r="FN92" s="25"/>
      <c r="FO92" s="25"/>
      <c r="FP92" s="25"/>
      <c r="FQ92" s="25"/>
      <c r="FR92" s="25"/>
      <c r="FS92" s="306"/>
      <c r="FT92" s="306"/>
      <c r="FU92" s="306"/>
      <c r="FV92" s="306"/>
      <c r="FW92" s="306"/>
      <c r="FX92" s="306"/>
      <c r="FY92" s="414"/>
      <c r="FZ92" s="414"/>
      <c r="GA92" s="414"/>
      <c r="GB92" s="414"/>
      <c r="GC92" s="414"/>
      <c r="GD92" s="414"/>
      <c r="GE92" s="414"/>
      <c r="GF92" s="414"/>
    </row>
    <row r="93" spans="1:188" ht="13.8" x14ac:dyDescent="0.3">
      <c r="A93" s="46"/>
      <c r="B93" s="42" t="s">
        <v>36</v>
      </c>
      <c r="C93" s="286">
        <v>486.17289907643527</v>
      </c>
      <c r="D93" s="286">
        <v>312.69040405889433</v>
      </c>
      <c r="E93" s="286">
        <v>173.48249501754094</v>
      </c>
      <c r="F93" s="289">
        <v>0.55480594468407807</v>
      </c>
      <c r="G93" s="287"/>
      <c r="H93" s="286">
        <v>441.05111241388636</v>
      </c>
      <c r="I93" s="286">
        <v>-128.36070835499203</v>
      </c>
      <c r="J93" s="289">
        <v>-0.29103363474693422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40.846533434565117</v>
      </c>
      <c r="FF93" s="362">
        <v>53.699173591473887</v>
      </c>
      <c r="FG93" s="362">
        <v>55.852492983632757</v>
      </c>
      <c r="FH93" s="362">
        <v>58.168568468161403</v>
      </c>
      <c r="FI93" s="362">
        <v>56.080685353806295</v>
      </c>
      <c r="FJ93" s="362">
        <v>53.689127975554854</v>
      </c>
      <c r="FK93" s="410"/>
      <c r="FL93" s="28">
        <v>150.11038759556502</v>
      </c>
      <c r="FM93" s="28">
        <v>272.95101569599512</v>
      </c>
      <c r="FN93" s="28">
        <v>434.85485733833224</v>
      </c>
      <c r="FO93" s="28">
        <v>451.2691981822644</v>
      </c>
      <c r="FP93" s="28">
        <v>464.37242684581611</v>
      </c>
      <c r="FQ93" s="28">
        <v>348.31665874468962</v>
      </c>
      <c r="FR93" s="28">
        <v>71.679754092928505</v>
      </c>
      <c r="FS93" s="308">
        <v>-57.389839176380562</v>
      </c>
      <c r="FT93" s="362">
        <v>188.69779288819711</v>
      </c>
      <c r="FU93" s="362">
        <v>414.58314113119002</v>
      </c>
      <c r="FV93" s="362">
        <v>472.68554514121388</v>
      </c>
      <c r="FW93" s="362">
        <v>341.59950525422499</v>
      </c>
      <c r="FX93" s="362">
        <f>'EDE''s'!C93</f>
        <v>486.17289907643527</v>
      </c>
      <c r="FY93" s="414"/>
      <c r="FZ93" s="414"/>
      <c r="GA93" s="414"/>
      <c r="GB93" s="414"/>
      <c r="GC93" s="414"/>
      <c r="GD93" s="414"/>
      <c r="GE93" s="414"/>
      <c r="GF93" s="414"/>
    </row>
    <row r="94" spans="1:188" ht="13.8" x14ac:dyDescent="0.3">
      <c r="A94" s="46"/>
      <c r="B94" s="21" t="s">
        <v>18</v>
      </c>
      <c r="C94" s="288">
        <v>235.06447245853457</v>
      </c>
      <c r="D94" s="288">
        <v>167.12906210877102</v>
      </c>
      <c r="E94" s="288">
        <v>67.935410349763544</v>
      </c>
      <c r="F94" s="285">
        <v>0.40648472200214814</v>
      </c>
      <c r="G94" s="284"/>
      <c r="H94" s="288">
        <v>190.49583322096237</v>
      </c>
      <c r="I94" s="288">
        <v>-23.366771112191344</v>
      </c>
      <c r="J94" s="285">
        <v>-0.12266289879993049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364">
        <v>26.323221822132766</v>
      </c>
      <c r="FH94" s="364">
        <v>27.193757286215067</v>
      </c>
      <c r="FI94" s="364">
        <v>25.531024139887442</v>
      </c>
      <c r="FJ94" s="364">
        <v>24.629388540603355</v>
      </c>
      <c r="FK94" s="410"/>
      <c r="FL94" s="22">
        <v>75.051325387593621</v>
      </c>
      <c r="FM94" s="22">
        <v>112.61285828141033</v>
      </c>
      <c r="FN94" s="22">
        <v>166.98266416691018</v>
      </c>
      <c r="FO94" s="22">
        <v>151.50641150395944</v>
      </c>
      <c r="FP94" s="22">
        <v>177.03946117294595</v>
      </c>
      <c r="FQ94" s="22">
        <v>140.07878816432012</v>
      </c>
      <c r="FR94" s="22">
        <v>34.580534816633367</v>
      </c>
      <c r="FS94" s="309">
        <v>-3.0095412929537098</v>
      </c>
      <c r="FT94" s="364">
        <v>84.994982590028158</v>
      </c>
      <c r="FU94" s="364">
        <v>174.6883701867323</v>
      </c>
      <c r="FV94" s="364">
        <v>204.86929012423252</v>
      </c>
      <c r="FW94" s="364">
        <v>182.52349953037879</v>
      </c>
      <c r="FX94" s="364">
        <f>'EDE''s'!C94</f>
        <v>235.06447245853457</v>
      </c>
      <c r="FY94" s="414"/>
      <c r="FZ94" s="414"/>
      <c r="GA94" s="414"/>
      <c r="GB94" s="414"/>
      <c r="GC94" s="414"/>
      <c r="GD94" s="414"/>
      <c r="GE94" s="414"/>
      <c r="GF94" s="414"/>
    </row>
    <row r="95" spans="1:188" ht="13.8" x14ac:dyDescent="0.3">
      <c r="A95" s="46"/>
      <c r="B95" s="21" t="s">
        <v>19</v>
      </c>
      <c r="C95" s="288">
        <v>130.9826187924026</v>
      </c>
      <c r="D95" s="288">
        <v>72.576477827235777</v>
      </c>
      <c r="E95" s="288">
        <v>58.406140965166827</v>
      </c>
      <c r="F95" s="285">
        <v>0.80475303726090652</v>
      </c>
      <c r="G95" s="284"/>
      <c r="H95" s="288">
        <v>138.7779635627289</v>
      </c>
      <c r="I95" s="288">
        <v>-66.201485735493122</v>
      </c>
      <c r="J95" s="285">
        <v>-0.47703168454096423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11.208318357655875</v>
      </c>
      <c r="FF95" s="364">
        <v>14.191530060975669</v>
      </c>
      <c r="FG95" s="364">
        <v>14.306522793077466</v>
      </c>
      <c r="FH95" s="364">
        <v>14.785737520311704</v>
      </c>
      <c r="FI95" s="364">
        <v>15.573481887390431</v>
      </c>
      <c r="FJ95" s="364">
        <v>14.77673868674094</v>
      </c>
      <c r="FK95" s="410"/>
      <c r="FL95" s="22">
        <v>33.703338140565009</v>
      </c>
      <c r="FM95" s="22">
        <v>82.985230065532804</v>
      </c>
      <c r="FN95" s="22">
        <v>147.63932678542744</v>
      </c>
      <c r="FO95" s="22">
        <v>160.39871545673617</v>
      </c>
      <c r="FP95" s="22">
        <v>154.49038368839655</v>
      </c>
      <c r="FQ95" s="22">
        <v>112.20755362343857</v>
      </c>
      <c r="FR95" s="22">
        <v>1.6269246915632531</v>
      </c>
      <c r="FS95" s="309">
        <v>-41.526801515407215</v>
      </c>
      <c r="FT95" s="364">
        <v>46.86664579154813</v>
      </c>
      <c r="FU95" s="364">
        <v>130.92717835633576</v>
      </c>
      <c r="FV95" s="364">
        <v>148.0511189826486</v>
      </c>
      <c r="FW95" s="364">
        <v>79.793212642692069</v>
      </c>
      <c r="FX95" s="364">
        <f>'EDE''s'!C95</f>
        <v>130.9826187924026</v>
      </c>
      <c r="FY95" s="414"/>
      <c r="FZ95" s="414"/>
      <c r="GA95" s="414"/>
      <c r="GB95" s="414"/>
      <c r="GC95" s="414"/>
      <c r="GD95" s="414"/>
      <c r="GE95" s="414"/>
      <c r="GF95" s="414"/>
    </row>
    <row r="96" spans="1:188" ht="13.8" x14ac:dyDescent="0.3">
      <c r="A96" s="46"/>
      <c r="B96" s="21" t="s">
        <v>20</v>
      </c>
      <c r="C96" s="288">
        <v>120.12580782549803</v>
      </c>
      <c r="D96" s="288">
        <v>72.984864122887515</v>
      </c>
      <c r="E96" s="288">
        <v>47.140943702610514</v>
      </c>
      <c r="F96" s="285">
        <v>0.64590027355860302</v>
      </c>
      <c r="G96" s="284"/>
      <c r="H96" s="288">
        <v>111.77731563019512</v>
      </c>
      <c r="I96" s="288">
        <v>-38.792451507307604</v>
      </c>
      <c r="J96" s="285">
        <v>-0.34705119986642757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364">
        <v>15.222748368422533</v>
      </c>
      <c r="FH96" s="364">
        <v>16.18907366163463</v>
      </c>
      <c r="FI96" s="364">
        <v>14.976179326528424</v>
      </c>
      <c r="FJ96" s="364">
        <v>14.283000748210558</v>
      </c>
      <c r="FK96" s="410"/>
      <c r="FL96" s="22">
        <v>41.355724067406392</v>
      </c>
      <c r="FM96" s="22">
        <v>77.352927349051953</v>
      </c>
      <c r="FN96" s="22">
        <v>120.23286638599461</v>
      </c>
      <c r="FO96" s="22">
        <v>139.36407122156876</v>
      </c>
      <c r="FP96" s="22">
        <v>132.84258198447358</v>
      </c>
      <c r="FQ96" s="22">
        <v>96.030316956930918</v>
      </c>
      <c r="FR96" s="22">
        <v>35.472294584731891</v>
      </c>
      <c r="FS96" s="309">
        <v>-12.853496368019638</v>
      </c>
      <c r="FT96" s="364">
        <v>56.836164506620847</v>
      </c>
      <c r="FU96" s="364">
        <v>108.96759258812196</v>
      </c>
      <c r="FV96" s="364">
        <v>119.7651360343327</v>
      </c>
      <c r="FW96" s="364">
        <v>79.282793081154111</v>
      </c>
      <c r="FX96" s="364">
        <f>'EDE''s'!C96</f>
        <v>120.12580782549803</v>
      </c>
      <c r="FY96" s="414"/>
      <c r="FZ96" s="414"/>
      <c r="GA96" s="414"/>
      <c r="GB96" s="414"/>
      <c r="GC96" s="414"/>
      <c r="GD96" s="414"/>
      <c r="GE96" s="414"/>
      <c r="GF96" s="414"/>
    </row>
    <row r="97" spans="1:188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410"/>
      <c r="FL97" s="25"/>
      <c r="FM97" s="25"/>
      <c r="FN97" s="25"/>
      <c r="FO97" s="25"/>
      <c r="FP97" s="25"/>
      <c r="FQ97" s="25"/>
      <c r="FR97" s="25"/>
      <c r="FS97" s="306"/>
      <c r="FT97" s="306"/>
      <c r="FU97" s="306"/>
      <c r="FV97" s="306"/>
      <c r="FW97" s="306"/>
      <c r="FX97" s="306"/>
      <c r="FY97" s="414"/>
      <c r="FZ97" s="414"/>
      <c r="GA97" s="414"/>
      <c r="GB97" s="414"/>
      <c r="GC97" s="414"/>
      <c r="GD97" s="414"/>
      <c r="GE97" s="414"/>
      <c r="GF97" s="414"/>
    </row>
    <row r="98" spans="1:188" ht="13.8" x14ac:dyDescent="0.3">
      <c r="A98" s="46"/>
      <c r="B98" s="42" t="s">
        <v>37</v>
      </c>
      <c r="C98" s="286">
        <v>21.818721982325179</v>
      </c>
      <c r="D98" s="286">
        <v>13.074347186861916</v>
      </c>
      <c r="E98" s="286">
        <v>8.7443747954632638</v>
      </c>
      <c r="F98" s="289">
        <v>0.66881922825563844</v>
      </c>
      <c r="G98" s="287"/>
      <c r="H98" s="286">
        <v>19.934424269991005</v>
      </c>
      <c r="I98" s="286">
        <v>-6.8600770831290898</v>
      </c>
      <c r="J98" s="289">
        <v>-0.34413219013584206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362">
        <v>2.03644639185557</v>
      </c>
      <c r="FH98" s="362">
        <v>2.0862040837576181</v>
      </c>
      <c r="FI98" s="362">
        <v>2.1026872357517767</v>
      </c>
      <c r="FJ98" s="362">
        <v>2.1975079385983269</v>
      </c>
      <c r="FK98" s="410"/>
      <c r="FL98" s="28">
        <v>16.431974956920151</v>
      </c>
      <c r="FM98" s="28">
        <v>21.864161602712493</v>
      </c>
      <c r="FN98" s="28">
        <v>18.149778896363436</v>
      </c>
      <c r="FO98" s="28">
        <v>21.211172037506138</v>
      </c>
      <c r="FP98" s="28">
        <v>23.200775399522815</v>
      </c>
      <c r="FQ98" s="28">
        <v>20.608152353439657</v>
      </c>
      <c r="FR98" s="28">
        <v>20.86538368691679</v>
      </c>
      <c r="FS98" s="308">
        <v>20.922876757330073</v>
      </c>
      <c r="FT98" s="362">
        <v>21.216584098245718</v>
      </c>
      <c r="FU98" s="362">
        <v>21.124627102828015</v>
      </c>
      <c r="FV98" s="362">
        <v>21.869927433275205</v>
      </c>
      <c r="FW98" s="362">
        <v>14.868119902645379</v>
      </c>
      <c r="FX98" s="362">
        <f>'EDE''s'!C98</f>
        <v>21.818721982325179</v>
      </c>
      <c r="FY98" s="414"/>
      <c r="FZ98" s="414"/>
      <c r="GA98" s="414"/>
      <c r="GB98" s="414"/>
      <c r="GC98" s="414"/>
      <c r="GD98" s="414"/>
      <c r="GE98" s="414"/>
      <c r="GF98" s="414"/>
    </row>
    <row r="99" spans="1:188" ht="13.8" x14ac:dyDescent="0.3">
      <c r="A99" s="46"/>
      <c r="B99" s="21" t="s">
        <v>18</v>
      </c>
      <c r="C99" s="288">
        <v>8.065391077312297</v>
      </c>
      <c r="D99" s="288">
        <v>5.3088854273951522</v>
      </c>
      <c r="E99" s="288">
        <v>2.7565056499171448</v>
      </c>
      <c r="F99" s="285">
        <v>0.51922492726870673</v>
      </c>
      <c r="G99" s="284"/>
      <c r="H99" s="288">
        <v>7.5102371615729506</v>
      </c>
      <c r="I99" s="288">
        <v>-2.2013517341777984</v>
      </c>
      <c r="J99" s="285">
        <v>-0.29311347788606257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364">
        <v>0.78038114204853093</v>
      </c>
      <c r="FH99" s="364">
        <v>0.75213550732040246</v>
      </c>
      <c r="FI99" s="364">
        <v>0.79654551324359024</v>
      </c>
      <c r="FJ99" s="364">
        <v>0.86180226474568611</v>
      </c>
      <c r="FK99" s="410"/>
      <c r="FL99" s="22">
        <v>4.5737835705427203</v>
      </c>
      <c r="FM99" s="22">
        <v>4.4657617358230377</v>
      </c>
      <c r="FN99" s="22">
        <v>4.7707210511328126</v>
      </c>
      <c r="FO99" s="22">
        <v>8.0084277849839438</v>
      </c>
      <c r="FP99" s="22">
        <v>9.6321614982320991</v>
      </c>
      <c r="FQ99" s="22">
        <v>7.6944559476034442</v>
      </c>
      <c r="FR99" s="22">
        <v>7.5632723172375336</v>
      </c>
      <c r="FS99" s="309">
        <v>7.3932710478192432</v>
      </c>
      <c r="FT99" s="364">
        <v>8.0895520088964066</v>
      </c>
      <c r="FU99" s="364">
        <v>7.7844409198170395</v>
      </c>
      <c r="FV99" s="364">
        <v>8.2840356981500101</v>
      </c>
      <c r="FW99" s="364">
        <v>5.9774717557063521</v>
      </c>
      <c r="FX99" s="364">
        <f>'EDE''s'!C99</f>
        <v>8.065391077312297</v>
      </c>
      <c r="FY99" s="414"/>
      <c r="FZ99" s="414"/>
      <c r="GA99" s="414"/>
      <c r="GB99" s="414"/>
      <c r="GC99" s="414"/>
      <c r="GD99" s="414"/>
      <c r="GE99" s="414"/>
      <c r="GF99" s="414"/>
    </row>
    <row r="100" spans="1:188" ht="13.8" x14ac:dyDescent="0.3">
      <c r="A100" s="46"/>
      <c r="B100" s="21" t="s">
        <v>19</v>
      </c>
      <c r="C100" s="288">
        <v>6.3990438085646693</v>
      </c>
      <c r="D100" s="288">
        <v>4.1581879732925699</v>
      </c>
      <c r="E100" s="288">
        <v>2.2408558352720993</v>
      </c>
      <c r="F100" s="285">
        <v>0.53890200483113959</v>
      </c>
      <c r="G100" s="284"/>
      <c r="H100" s="288">
        <v>5.820032323391044</v>
      </c>
      <c r="I100" s="288">
        <v>-1.6618443500984741</v>
      </c>
      <c r="J100" s="285">
        <v>-0.28553868050172615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364">
        <v>0.57417061681353876</v>
      </c>
      <c r="FH100" s="364">
        <v>0.5596615357916791</v>
      </c>
      <c r="FI100" s="364">
        <v>0.60140598647063148</v>
      </c>
      <c r="FJ100" s="364">
        <v>0.58373703615553807</v>
      </c>
      <c r="FK100" s="410"/>
      <c r="FL100" s="22">
        <v>6.4459054802839848</v>
      </c>
      <c r="FM100" s="22">
        <v>12.118908788074931</v>
      </c>
      <c r="FN100" s="22">
        <v>7.4736743427029122</v>
      </c>
      <c r="FO100" s="22">
        <v>6.3156135788047791</v>
      </c>
      <c r="FP100" s="22">
        <v>6.6752464843962098</v>
      </c>
      <c r="FQ100" s="22">
        <v>7.0041067210670258</v>
      </c>
      <c r="FR100" s="22">
        <v>7.0336723797449983</v>
      </c>
      <c r="FS100" s="309">
        <v>6.7848968632441711</v>
      </c>
      <c r="FT100" s="364">
        <v>6.5748734825635209</v>
      </c>
      <c r="FU100" s="364">
        <v>6.5502585062792065</v>
      </c>
      <c r="FV100" s="364">
        <v>6.2801154512189488</v>
      </c>
      <c r="FW100" s="364">
        <v>4.7781688594735776</v>
      </c>
      <c r="FX100" s="364">
        <f>'EDE''s'!C100</f>
        <v>6.3990438085646693</v>
      </c>
      <c r="FY100" s="414"/>
      <c r="FZ100" s="414"/>
      <c r="GA100" s="414"/>
      <c r="GB100" s="414"/>
      <c r="GC100" s="414"/>
      <c r="GD100" s="414"/>
      <c r="GE100" s="414"/>
      <c r="GF100" s="414"/>
    </row>
    <row r="101" spans="1:188" ht="13.8" x14ac:dyDescent="0.3">
      <c r="A101" s="46"/>
      <c r="B101" s="21" t="s">
        <v>20</v>
      </c>
      <c r="C101" s="288">
        <v>7.3542870964482114</v>
      </c>
      <c r="D101" s="288">
        <v>3.6072737861741953</v>
      </c>
      <c r="E101" s="288">
        <v>3.7470133102740162</v>
      </c>
      <c r="F101" s="285">
        <v>1.0387382639586185</v>
      </c>
      <c r="G101" s="284"/>
      <c r="H101" s="288">
        <v>6.6041547850270117</v>
      </c>
      <c r="I101" s="288">
        <v>-2.9968809988528164</v>
      </c>
      <c r="J101" s="285">
        <v>-0.45378721371694181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364">
        <v>0.68189463299350017</v>
      </c>
      <c r="FH101" s="364">
        <v>0.77440704064553645</v>
      </c>
      <c r="FI101" s="364">
        <v>0.70473573603755524</v>
      </c>
      <c r="FJ101" s="364">
        <v>0.75196863769710309</v>
      </c>
      <c r="FK101" s="410"/>
      <c r="FL101" s="22">
        <v>5.4122859060934436</v>
      </c>
      <c r="FM101" s="22">
        <v>5.2794910788145231</v>
      </c>
      <c r="FN101" s="22">
        <v>5.9053835025277106</v>
      </c>
      <c r="FO101" s="22">
        <v>6.8871306737174152</v>
      </c>
      <c r="FP101" s="22">
        <v>6.8933674168945061</v>
      </c>
      <c r="FQ101" s="22">
        <v>5.9095896847691884</v>
      </c>
      <c r="FR101" s="22">
        <v>6.2684389899342579</v>
      </c>
      <c r="FS101" s="309">
        <v>6.7447088462666578</v>
      </c>
      <c r="FT101" s="364">
        <v>6.5521586067857935</v>
      </c>
      <c r="FU101" s="364">
        <v>6.7899276767317698</v>
      </c>
      <c r="FV101" s="364">
        <v>7.305776283906245</v>
      </c>
      <c r="FW101" s="364">
        <v>4.1124792874654492</v>
      </c>
      <c r="FX101" s="364">
        <f>'EDE''s'!C101</f>
        <v>7.3542870964482114</v>
      </c>
      <c r="FY101" s="414"/>
      <c r="FZ101" s="414"/>
      <c r="GA101" s="414"/>
      <c r="GB101" s="414"/>
      <c r="GC101" s="414"/>
      <c r="GD101" s="414"/>
      <c r="GE101" s="414"/>
      <c r="GF101" s="414"/>
    </row>
    <row r="102" spans="1:188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410"/>
      <c r="FL102" s="25"/>
      <c r="FM102" s="25"/>
      <c r="FN102" s="25"/>
      <c r="FO102" s="25"/>
      <c r="FP102" s="25"/>
      <c r="FQ102" s="25"/>
      <c r="FR102" s="25"/>
      <c r="FS102" s="306"/>
      <c r="FT102" s="306"/>
      <c r="FU102" s="306"/>
      <c r="FV102" s="306"/>
      <c r="FW102" s="306"/>
      <c r="FX102" s="306">
        <f>'EDE''s'!C102</f>
        <v>0</v>
      </c>
      <c r="FY102" s="414"/>
      <c r="FZ102" s="414"/>
      <c r="GA102" s="414"/>
      <c r="GB102" s="414"/>
      <c r="GC102" s="414"/>
      <c r="GD102" s="414"/>
      <c r="GE102" s="414"/>
      <c r="GF102" s="414"/>
    </row>
    <row r="103" spans="1:188" ht="13.8" x14ac:dyDescent="0.3">
      <c r="A103" s="46"/>
      <c r="B103" s="42" t="s">
        <v>38</v>
      </c>
      <c r="C103" s="286">
        <v>9.3774981031345401</v>
      </c>
      <c r="D103" s="286">
        <v>6.9584692942812127</v>
      </c>
      <c r="E103" s="286">
        <v>2.4190288088533274</v>
      </c>
      <c r="F103" s="289">
        <v>0.34763806615362886</v>
      </c>
      <c r="G103" s="287"/>
      <c r="H103" s="286">
        <v>7.7720926695327268</v>
      </c>
      <c r="I103" s="286">
        <v>-0.81362337525151407</v>
      </c>
      <c r="J103" s="289">
        <v>-0.10468523856399549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0.22073750508166862</v>
      </c>
      <c r="FF103" s="362">
        <v>0.18553297024771515</v>
      </c>
      <c r="FG103" s="362">
        <v>0.32258283496388701</v>
      </c>
      <c r="FH103" s="362">
        <v>0.28545099437975174</v>
      </c>
      <c r="FI103" s="362">
        <v>0.78217668918022343</v>
      </c>
      <c r="FJ103" s="362">
        <v>2.4911523320377467</v>
      </c>
      <c r="FK103" s="410"/>
      <c r="FL103" s="28">
        <v>3.7681872122407114</v>
      </c>
      <c r="FM103" s="28">
        <v>6.4950965819607749</v>
      </c>
      <c r="FN103" s="28">
        <v>7.3620294646951026</v>
      </c>
      <c r="FO103" s="28">
        <v>5.2810109624276382</v>
      </c>
      <c r="FP103" s="28">
        <v>6.3096840686094007</v>
      </c>
      <c r="FQ103" s="28">
        <v>3.4192922549594269</v>
      </c>
      <c r="FR103" s="28">
        <v>6.1203405903946901</v>
      </c>
      <c r="FS103" s="308">
        <v>9.031621131731276</v>
      </c>
      <c r="FT103" s="362">
        <v>5.5436319335127529</v>
      </c>
      <c r="FU103" s="362">
        <v>5.3780997445718963</v>
      </c>
      <c r="FV103" s="362">
        <v>7.9618728299705825</v>
      </c>
      <c r="FW103" s="362">
        <v>7.9046333023197093</v>
      </c>
      <c r="FX103" s="362">
        <f>'EDE''s'!C103</f>
        <v>9.3774981031345401</v>
      </c>
      <c r="FY103" s="414"/>
      <c r="FZ103" s="414"/>
      <c r="GA103" s="414"/>
      <c r="GB103" s="414"/>
      <c r="GC103" s="414"/>
      <c r="GD103" s="414"/>
      <c r="GE103" s="414"/>
      <c r="GF103" s="414"/>
    </row>
    <row r="104" spans="1:188" ht="13.8" x14ac:dyDescent="0.3">
      <c r="A104" s="46"/>
      <c r="B104" s="21" t="s">
        <v>18</v>
      </c>
      <c r="C104" s="288">
        <v>7.057463724210935</v>
      </c>
      <c r="D104" s="288">
        <v>4.147451348657901</v>
      </c>
      <c r="E104" s="288">
        <v>2.910012375553034</v>
      </c>
      <c r="F104" s="285">
        <v>0.70163870071548939</v>
      </c>
      <c r="G104" s="284"/>
      <c r="H104" s="288">
        <v>3.1714777226426643</v>
      </c>
      <c r="I104" s="288">
        <v>0.97597362601523674</v>
      </c>
      <c r="J104" s="285">
        <v>0.30773466231444857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364">
        <v>8.1419780373423498E-2</v>
      </c>
      <c r="FH104" s="364">
        <v>0.2002705199175519</v>
      </c>
      <c r="FI104" s="364">
        <v>0.66584421852245834</v>
      </c>
      <c r="FJ104" s="364">
        <v>2.4174155146701124</v>
      </c>
      <c r="FK104" s="410"/>
      <c r="FL104" s="22">
        <v>0.6682390407479929</v>
      </c>
      <c r="FM104" s="22">
        <v>0.69458184054885108</v>
      </c>
      <c r="FN104" s="22">
        <v>1.5863559494895492</v>
      </c>
      <c r="FO104" s="22">
        <v>0.45645025944649159</v>
      </c>
      <c r="FP104" s="22">
        <v>0.76482948819358776</v>
      </c>
      <c r="FQ104" s="22">
        <v>0.82388917972902043</v>
      </c>
      <c r="FR104" s="22">
        <v>0.80511583148274368</v>
      </c>
      <c r="FS104" s="309">
        <v>1.7572763036824133</v>
      </c>
      <c r="FT104" s="364">
        <v>3.2837400573278108</v>
      </c>
      <c r="FU104" s="364">
        <v>2.5293831727128775</v>
      </c>
      <c r="FV104" s="364">
        <v>3.2597172448767511</v>
      </c>
      <c r="FW104" s="364">
        <v>4.9934569934707671</v>
      </c>
      <c r="FX104" s="364">
        <f>'EDE''s'!C104</f>
        <v>7.057463724210935</v>
      </c>
      <c r="FY104" s="414"/>
      <c r="FZ104" s="414"/>
      <c r="GA104" s="414"/>
      <c r="GB104" s="414"/>
      <c r="GC104" s="414"/>
      <c r="GD104" s="414"/>
      <c r="GE104" s="414"/>
      <c r="GF104" s="414"/>
    </row>
    <row r="105" spans="1:188" ht="13.8" x14ac:dyDescent="0.3">
      <c r="A105" s="46"/>
      <c r="B105" s="21" t="s">
        <v>19</v>
      </c>
      <c r="C105" s="288">
        <v>1.9991005341084618</v>
      </c>
      <c r="D105" s="288">
        <v>1.4253517373819846</v>
      </c>
      <c r="E105" s="288">
        <v>0.57374879672647716</v>
      </c>
      <c r="F105" s="285">
        <v>0.4025313764168208</v>
      </c>
      <c r="G105" s="284"/>
      <c r="H105" s="288">
        <v>2.2439192543571549</v>
      </c>
      <c r="I105" s="288">
        <v>-0.81856751697517027</v>
      </c>
      <c r="J105" s="285">
        <v>-0.3647936597476526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364">
        <v>0.21421560573803045</v>
      </c>
      <c r="FH105" s="364">
        <v>5.5443286879613821E-2</v>
      </c>
      <c r="FI105" s="364">
        <v>4.9489612857676238E-2</v>
      </c>
      <c r="FJ105" s="364">
        <v>3.1250098375222135E-2</v>
      </c>
      <c r="FK105" s="410"/>
      <c r="FL105" s="22">
        <v>2.2723311235567669</v>
      </c>
      <c r="FM105" s="22">
        <v>4.9218663632621125</v>
      </c>
      <c r="FN105" s="22">
        <v>4.3569799749378078</v>
      </c>
      <c r="FO105" s="22">
        <v>4.13026575926588</v>
      </c>
      <c r="FP105" s="22">
        <v>4.1653709812859159</v>
      </c>
      <c r="FQ105" s="22">
        <v>2.277988961927413</v>
      </c>
      <c r="FR105" s="22">
        <v>5.2608982816217296</v>
      </c>
      <c r="FS105" s="309">
        <v>7.1865221362124618</v>
      </c>
      <c r="FT105" s="364">
        <v>2.1458506912058706</v>
      </c>
      <c r="FU105" s="364">
        <v>2.540604838907893</v>
      </c>
      <c r="FV105" s="364">
        <v>2.3229689550857295</v>
      </c>
      <c r="FW105" s="364">
        <v>1.5169531842527602</v>
      </c>
      <c r="FX105" s="364">
        <f>'EDE''s'!C105</f>
        <v>1.9991005341084618</v>
      </c>
      <c r="FY105" s="414"/>
      <c r="FZ105" s="414"/>
      <c r="GA105" s="414"/>
      <c r="GB105" s="414"/>
      <c r="GC105" s="414"/>
      <c r="GD105" s="414"/>
      <c r="GE105" s="414"/>
      <c r="GF105" s="414"/>
    </row>
    <row r="106" spans="1:188" ht="13.8" x14ac:dyDescent="0.3">
      <c r="A106" s="46"/>
      <c r="B106" s="21" t="s">
        <v>20</v>
      </c>
      <c r="C106" s="288">
        <v>0.32093384481514275</v>
      </c>
      <c r="D106" s="288">
        <v>1.3856662082413258</v>
      </c>
      <c r="E106" s="288">
        <v>-1.0647323634261832</v>
      </c>
      <c r="F106" s="285">
        <v>-0.76839022059831508</v>
      </c>
      <c r="G106" s="284"/>
      <c r="H106" s="288">
        <v>2.3566956925329077</v>
      </c>
      <c r="I106" s="288">
        <v>-0.97102948429158187</v>
      </c>
      <c r="J106" s="285">
        <v>-0.41203006708428602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1.90456851370134E-2</v>
      </c>
      <c r="FF106" s="364">
        <v>2.3778052857212795E-2</v>
      </c>
      <c r="FG106" s="364">
        <v>2.6947448852433054E-2</v>
      </c>
      <c r="FH106" s="364">
        <v>2.9737187582586023E-2</v>
      </c>
      <c r="FI106" s="364">
        <v>6.6842857800088834E-2</v>
      </c>
      <c r="FJ106" s="364">
        <v>4.2486718992412062E-2</v>
      </c>
      <c r="FK106" s="410"/>
      <c r="FL106" s="22">
        <v>0.82761704793595192</v>
      </c>
      <c r="FM106" s="22">
        <v>0.87864837814981156</v>
      </c>
      <c r="FN106" s="22">
        <v>1.4186935402677452</v>
      </c>
      <c r="FO106" s="22">
        <v>0.69429494371526745</v>
      </c>
      <c r="FP106" s="22">
        <v>1.379483599129897</v>
      </c>
      <c r="FQ106" s="22">
        <v>0.31741411330299363</v>
      </c>
      <c r="FR106" s="22">
        <v>5.4326477290216349E-2</v>
      </c>
      <c r="FS106" s="309">
        <v>8.7822691836400554E-2</v>
      </c>
      <c r="FT106" s="364">
        <v>0.11404118497907161</v>
      </c>
      <c r="FU106" s="364">
        <v>0.30811173295112615</v>
      </c>
      <c r="FV106" s="364">
        <v>2.3791866300081015</v>
      </c>
      <c r="FW106" s="364">
        <v>1.3942231245961823</v>
      </c>
      <c r="FX106" s="364">
        <f>'EDE''s'!C106</f>
        <v>0.32093384481514275</v>
      </c>
      <c r="FY106" s="414"/>
      <c r="FZ106" s="414"/>
      <c r="GA106" s="414"/>
      <c r="GB106" s="414"/>
      <c r="GC106" s="414"/>
      <c r="GD106" s="414"/>
      <c r="GE106" s="414"/>
      <c r="GF106" s="414"/>
    </row>
    <row r="107" spans="1:188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410"/>
      <c r="FL107" s="25"/>
      <c r="FM107" s="25"/>
      <c r="FN107" s="25"/>
      <c r="FO107" s="25"/>
      <c r="FP107" s="25"/>
      <c r="FQ107" s="25"/>
      <c r="FR107" s="25"/>
      <c r="FS107" s="306"/>
      <c r="FT107" s="306"/>
      <c r="FU107" s="306"/>
      <c r="FV107" s="306"/>
      <c r="FW107" s="306"/>
      <c r="FX107" s="306">
        <f>'EDE''s'!C107</f>
        <v>0</v>
      </c>
      <c r="FY107" s="414"/>
      <c r="FZ107" s="414"/>
      <c r="GA107" s="414"/>
      <c r="GB107" s="414"/>
      <c r="GC107" s="414"/>
      <c r="GD107" s="414"/>
      <c r="GE107" s="414"/>
      <c r="GF107" s="414"/>
    </row>
    <row r="108" spans="1:188" ht="13.8" x14ac:dyDescent="0.3">
      <c r="A108" s="46"/>
      <c r="B108" s="42" t="s">
        <v>39</v>
      </c>
      <c r="C108" s="286">
        <v>312.47492953483578</v>
      </c>
      <c r="D108" s="286">
        <v>303.71368301016452</v>
      </c>
      <c r="E108" s="286">
        <v>8.7612465246712645</v>
      </c>
      <c r="F108" s="289">
        <v>2.8847058972901289E-2</v>
      </c>
      <c r="G108" s="287"/>
      <c r="H108" s="286">
        <v>353.53968956488313</v>
      </c>
      <c r="I108" s="286">
        <v>-49.826006554718617</v>
      </c>
      <c r="J108" s="289">
        <v>-0.1409346900090388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28.897897256036138</v>
      </c>
      <c r="FF108" s="362">
        <v>29.840314127188943</v>
      </c>
      <c r="FG108" s="362">
        <v>29.392139915600609</v>
      </c>
      <c r="FH108" s="362">
        <v>25.055261920802216</v>
      </c>
      <c r="FI108" s="362">
        <v>33.404887190401674</v>
      </c>
      <c r="FJ108" s="362">
        <v>30.17936572532312</v>
      </c>
      <c r="FK108" s="410"/>
      <c r="FL108" s="28">
        <v>234.38672126605752</v>
      </c>
      <c r="FM108" s="28">
        <v>234.98856062078377</v>
      </c>
      <c r="FN108" s="28">
        <v>270.17377600079959</v>
      </c>
      <c r="FO108" s="28">
        <v>313.69980798769325</v>
      </c>
      <c r="FP108" s="28">
        <v>303.83011571458792</v>
      </c>
      <c r="FQ108" s="28">
        <v>389.43798890048021</v>
      </c>
      <c r="FR108" s="28">
        <v>341.01858722197818</v>
      </c>
      <c r="FS108" s="308">
        <v>358.77086837970774</v>
      </c>
      <c r="FT108" s="362">
        <v>352.40916666005705</v>
      </c>
      <c r="FU108" s="362">
        <v>361.93635686884517</v>
      </c>
      <c r="FV108" s="362">
        <v>391.45720815904639</v>
      </c>
      <c r="FW108" s="362">
        <v>337.3017230730124</v>
      </c>
      <c r="FX108" s="362">
        <f>'EDE''s'!C108</f>
        <v>312.47492953483578</v>
      </c>
      <c r="FY108" s="414"/>
      <c r="FZ108" s="414"/>
      <c r="GA108" s="414"/>
      <c r="GB108" s="414"/>
      <c r="GC108" s="414"/>
      <c r="GD108" s="414"/>
      <c r="GE108" s="414"/>
      <c r="GF108" s="414"/>
    </row>
    <row r="109" spans="1:188" ht="13.8" x14ac:dyDescent="0.3">
      <c r="A109" s="46"/>
      <c r="B109" s="21" t="s">
        <v>18</v>
      </c>
      <c r="C109" s="288">
        <v>106.34174655096801</v>
      </c>
      <c r="D109" s="288">
        <v>113.69241326614035</v>
      </c>
      <c r="E109" s="288">
        <v>-7.3506667151723377</v>
      </c>
      <c r="F109" s="285">
        <v>-6.4653977376355851E-2</v>
      </c>
      <c r="G109" s="284"/>
      <c r="H109" s="288">
        <v>133.82138337535017</v>
      </c>
      <c r="I109" s="288">
        <v>-20.128970109209817</v>
      </c>
      <c r="J109" s="285">
        <v>-0.15041669426440532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304">
        <v>10.710114897149756</v>
      </c>
      <c r="FH109" s="304">
        <v>8.4275021195768076</v>
      </c>
      <c r="FI109" s="304">
        <v>12.075143921819739</v>
      </c>
      <c r="FJ109" s="304">
        <v>11.335460090785308</v>
      </c>
      <c r="FK109" s="410"/>
      <c r="FL109" s="22">
        <v>75.251081918772385</v>
      </c>
      <c r="FM109" s="22">
        <v>71.484523256575031</v>
      </c>
      <c r="FN109" s="22">
        <v>75.104543453497087</v>
      </c>
      <c r="FO109" s="22">
        <v>81.937835568695277</v>
      </c>
      <c r="FP109" s="22">
        <v>89.805403023265029</v>
      </c>
      <c r="FQ109" s="22">
        <v>111.42677164697436</v>
      </c>
      <c r="FR109" s="22">
        <v>122.60959874680231</v>
      </c>
      <c r="FS109" s="309">
        <v>130.0796672448038</v>
      </c>
      <c r="FT109" s="364">
        <v>130.98647213054815</v>
      </c>
      <c r="FU109" s="364">
        <v>138.7320945147458</v>
      </c>
      <c r="FV109" s="364">
        <v>146.84757230684991</v>
      </c>
      <c r="FW109" s="364">
        <v>124.89855851356008</v>
      </c>
      <c r="FX109" s="364">
        <f>'EDE''s'!C109</f>
        <v>106.34174655096801</v>
      </c>
      <c r="FY109" s="414"/>
      <c r="FZ109" s="414"/>
      <c r="GA109" s="414"/>
      <c r="GB109" s="414"/>
      <c r="GC109" s="414"/>
      <c r="GD109" s="414"/>
      <c r="GE109" s="414"/>
      <c r="GF109" s="414"/>
    </row>
    <row r="110" spans="1:188" ht="13.8" x14ac:dyDescent="0.3">
      <c r="A110" s="46"/>
      <c r="B110" s="21" t="s">
        <v>19</v>
      </c>
      <c r="C110" s="288">
        <v>127.51276932202232</v>
      </c>
      <c r="D110" s="288">
        <v>117.76870845266195</v>
      </c>
      <c r="E110" s="288">
        <v>9.7440608693603679</v>
      </c>
      <c r="F110" s="285">
        <v>8.2738963493660694E-2</v>
      </c>
      <c r="G110" s="284"/>
      <c r="H110" s="288">
        <v>141.43138461014192</v>
      </c>
      <c r="I110" s="288">
        <v>-23.662676157479964</v>
      </c>
      <c r="J110" s="285">
        <v>-0.16730852365411358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304">
        <v>10.924476528739573</v>
      </c>
      <c r="FH110" s="304">
        <v>9.937928698668987</v>
      </c>
      <c r="FI110" s="304">
        <v>12.562206081048201</v>
      </c>
      <c r="FJ110" s="304">
        <v>11.200234219239233</v>
      </c>
      <c r="FK110" s="410"/>
      <c r="FL110" s="22">
        <v>97.810979057011508</v>
      </c>
      <c r="FM110" s="22">
        <v>89.659380231301654</v>
      </c>
      <c r="FN110" s="22">
        <v>110.68146200578576</v>
      </c>
      <c r="FO110" s="22">
        <v>132.31091899916839</v>
      </c>
      <c r="FP110" s="22">
        <v>122.62627317066175</v>
      </c>
      <c r="FQ110" s="22">
        <v>133.13588638332124</v>
      </c>
      <c r="FR110" s="22">
        <v>134.74761555197327</v>
      </c>
      <c r="FS110" s="309">
        <v>145.58511706216549</v>
      </c>
      <c r="FT110" s="364">
        <v>140.40390109476982</v>
      </c>
      <c r="FU110" s="364">
        <v>137.75509052994335</v>
      </c>
      <c r="FV110" s="364">
        <v>155.868050771817</v>
      </c>
      <c r="FW110" s="364">
        <v>132.76511409096025</v>
      </c>
      <c r="FX110" s="364">
        <f>'EDE''s'!C110</f>
        <v>127.51276932202232</v>
      </c>
      <c r="FY110" s="414"/>
      <c r="FZ110" s="414"/>
      <c r="GA110" s="414"/>
      <c r="GB110" s="414"/>
      <c r="GC110" s="414"/>
      <c r="GD110" s="414"/>
      <c r="GE110" s="414"/>
      <c r="GF110" s="414"/>
    </row>
    <row r="111" spans="1:188" ht="13.8" x14ac:dyDescent="0.3">
      <c r="A111" s="46"/>
      <c r="B111" s="21" t="s">
        <v>20</v>
      </c>
      <c r="C111" s="288">
        <v>78.620413661845433</v>
      </c>
      <c r="D111" s="288">
        <v>72.25256129136217</v>
      </c>
      <c r="E111" s="288">
        <v>6.3678523704832628</v>
      </c>
      <c r="F111" s="285">
        <v>8.8133240630800205E-2</v>
      </c>
      <c r="G111" s="284"/>
      <c r="H111" s="288">
        <v>78.286921579391006</v>
      </c>
      <c r="I111" s="288">
        <v>-6.0343602880288358</v>
      </c>
      <c r="J111" s="285">
        <v>-7.7080055854659865E-2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8.0505971552258355</v>
      </c>
      <c r="FF111" s="304">
        <v>8.1761430092524598</v>
      </c>
      <c r="FG111" s="304">
        <v>7.7575484897112812</v>
      </c>
      <c r="FH111" s="304">
        <v>6.6898311025564237</v>
      </c>
      <c r="FI111" s="304">
        <v>8.7675371875337316</v>
      </c>
      <c r="FJ111" s="304">
        <v>7.6436714152985799</v>
      </c>
      <c r="FK111" s="410"/>
      <c r="FL111" s="22">
        <v>61.324660290273627</v>
      </c>
      <c r="FM111" s="22">
        <v>73.844657132907088</v>
      </c>
      <c r="FN111" s="22">
        <v>84.387770541516744</v>
      </c>
      <c r="FO111" s="22">
        <v>99.451053419829577</v>
      </c>
      <c r="FP111" s="22">
        <v>91.398439520661128</v>
      </c>
      <c r="FQ111" s="22">
        <v>144.8753308701846</v>
      </c>
      <c r="FR111" s="22">
        <v>83.661372923202592</v>
      </c>
      <c r="FS111" s="309">
        <v>83.10608407273844</v>
      </c>
      <c r="FT111" s="364">
        <v>81.018793434739109</v>
      </c>
      <c r="FU111" s="364">
        <v>85.449171824156039</v>
      </c>
      <c r="FV111" s="364">
        <v>88.74158508037948</v>
      </c>
      <c r="FW111" s="364">
        <v>79.638050468492054</v>
      </c>
      <c r="FX111" s="364">
        <f>'EDE''s'!C111</f>
        <v>78.620413661845433</v>
      </c>
      <c r="FY111" s="414"/>
      <c r="FZ111" s="414"/>
      <c r="GA111" s="414"/>
      <c r="GB111" s="414"/>
      <c r="GC111" s="414"/>
      <c r="GD111" s="414"/>
      <c r="GE111" s="414"/>
      <c r="GF111" s="414"/>
    </row>
    <row r="112" spans="1:188" ht="13.8" x14ac:dyDescent="0.3">
      <c r="A112" s="46"/>
      <c r="B112" s="263" t="s">
        <v>40</v>
      </c>
      <c r="C112" s="286">
        <v>99.8294454913935</v>
      </c>
      <c r="D112" s="286">
        <v>99.556137871646854</v>
      </c>
      <c r="E112" s="286">
        <v>0.27330761974664597</v>
      </c>
      <c r="F112" s="289">
        <v>2.7452613730256279E-3</v>
      </c>
      <c r="G112" s="287"/>
      <c r="H112" s="286">
        <v>99.643883334803007</v>
      </c>
      <c r="I112" s="286">
        <v>-8.7745463156153392E-2</v>
      </c>
      <c r="J112" s="289">
        <v>-8.8059056130248376E-4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8.9659689360720058</v>
      </c>
      <c r="FG112" s="362">
        <v>10.260314173428789</v>
      </c>
      <c r="FH112" s="362">
        <v>7.9554407404993057</v>
      </c>
      <c r="FI112" s="362">
        <v>9.2355825110901542</v>
      </c>
      <c r="FJ112" s="362">
        <v>8.9424302177653665</v>
      </c>
      <c r="FK112" s="410"/>
      <c r="FL112" s="28">
        <v>72.502762284552432</v>
      </c>
      <c r="FM112" s="28">
        <v>77.322315724968718</v>
      </c>
      <c r="FN112" s="28">
        <v>75.009470116237722</v>
      </c>
      <c r="FO112" s="28">
        <v>86.094976862208014</v>
      </c>
      <c r="FP112" s="28">
        <v>86.236781819355159</v>
      </c>
      <c r="FQ112" s="28">
        <v>90.962686034832387</v>
      </c>
      <c r="FR112" s="28">
        <v>93.185847975219772</v>
      </c>
      <c r="FS112" s="308">
        <v>98.653226522067342</v>
      </c>
      <c r="FT112" s="362">
        <v>110.68448628461736</v>
      </c>
      <c r="FU112" s="362">
        <v>106.66203420923705</v>
      </c>
      <c r="FV112" s="362">
        <v>115.2103107442628</v>
      </c>
      <c r="FW112" s="362">
        <v>114.19015684853801</v>
      </c>
      <c r="FX112" s="362">
        <f>'EDE''s'!C112</f>
        <v>99.8294454913935</v>
      </c>
      <c r="FY112" s="414"/>
      <c r="FZ112" s="414"/>
      <c r="GA112" s="414"/>
      <c r="GB112" s="414"/>
      <c r="GC112" s="414"/>
      <c r="GD112" s="414"/>
      <c r="GE112" s="414"/>
      <c r="GF112" s="414"/>
    </row>
    <row r="113" spans="1:188" ht="13.8" x14ac:dyDescent="0.3">
      <c r="A113" s="46"/>
      <c r="B113" s="264" t="s">
        <v>18</v>
      </c>
      <c r="C113" s="288">
        <v>27.953900095758687</v>
      </c>
      <c r="D113" s="288">
        <v>27.277315697138665</v>
      </c>
      <c r="E113" s="288">
        <v>0.6765843986200224</v>
      </c>
      <c r="F113" s="285">
        <v>2.4803921549032579E-2</v>
      </c>
      <c r="G113" s="284"/>
      <c r="H113" s="288">
        <v>27.02246153804116</v>
      </c>
      <c r="I113" s="288">
        <v>0.25485415909750486</v>
      </c>
      <c r="J113" s="285">
        <v>9.4311970335763523E-3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364">
        <v>3.4099627035849744</v>
      </c>
      <c r="FH113" s="364">
        <v>2.1582480311492453</v>
      </c>
      <c r="FI113" s="364">
        <v>2.8311518718337547</v>
      </c>
      <c r="FJ113" s="364">
        <v>2.5034554737525032</v>
      </c>
      <c r="FK113" s="410"/>
      <c r="FL113" s="22">
        <v>22.989227752868253</v>
      </c>
      <c r="FM113" s="22">
        <v>23.387221082067466</v>
      </c>
      <c r="FN113" s="22">
        <v>21.973573810441152</v>
      </c>
      <c r="FO113" s="22">
        <v>25.118311676652407</v>
      </c>
      <c r="FP113" s="22">
        <v>26.814161758852364</v>
      </c>
      <c r="FQ113" s="22">
        <v>28.366303642494316</v>
      </c>
      <c r="FR113" s="22">
        <v>28.492273715256815</v>
      </c>
      <c r="FS113" s="309">
        <v>29.849218149972753</v>
      </c>
      <c r="FT113" s="364">
        <v>37.727466899573457</v>
      </c>
      <c r="FU113" s="364">
        <v>29.893500084144531</v>
      </c>
      <c r="FV113" s="364">
        <v>30.311052395758576</v>
      </c>
      <c r="FW113" s="364">
        <v>31.181944663072191</v>
      </c>
      <c r="FX113" s="364">
        <f>'EDE''s'!C113</f>
        <v>27.953900095758687</v>
      </c>
      <c r="FY113" s="414"/>
      <c r="FZ113" s="414"/>
      <c r="GA113" s="414"/>
      <c r="GB113" s="414"/>
      <c r="GC113" s="414"/>
      <c r="GD113" s="414"/>
      <c r="GE113" s="414"/>
      <c r="GF113" s="414"/>
    </row>
    <row r="114" spans="1:188" ht="13.8" x14ac:dyDescent="0.3">
      <c r="A114" s="46"/>
      <c r="B114" s="264" t="s">
        <v>19</v>
      </c>
      <c r="C114" s="288">
        <v>43.54008860471879</v>
      </c>
      <c r="D114" s="288">
        <v>44.949637089032564</v>
      </c>
      <c r="E114" s="288">
        <v>-1.409548484313774</v>
      </c>
      <c r="F114" s="285">
        <v>-3.1358395208438632E-2</v>
      </c>
      <c r="G114" s="284"/>
      <c r="H114" s="288">
        <v>45.480517758331509</v>
      </c>
      <c r="I114" s="288">
        <v>-0.53088066929894495</v>
      </c>
      <c r="J114" s="285">
        <v>-1.1672705049662582E-2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364">
        <v>3.3916013659502862</v>
      </c>
      <c r="FH114" s="364">
        <v>3.4384561650134784</v>
      </c>
      <c r="FI114" s="364">
        <v>4.2171923581902577</v>
      </c>
      <c r="FJ114" s="364">
        <v>4.1836337617415582</v>
      </c>
      <c r="FK114" s="410"/>
      <c r="FL114" s="22">
        <v>27.191918957280727</v>
      </c>
      <c r="FM114" s="22">
        <v>30.393738973303172</v>
      </c>
      <c r="FN114" s="22">
        <v>24.533970132513261</v>
      </c>
      <c r="FO114" s="22">
        <v>27.795500345636896</v>
      </c>
      <c r="FP114" s="22">
        <v>29.68580829371211</v>
      </c>
      <c r="FQ114" s="22">
        <v>31.758083191526687</v>
      </c>
      <c r="FR114" s="22">
        <v>33.333422414330101</v>
      </c>
      <c r="FS114" s="309">
        <v>38.135285173564249</v>
      </c>
      <c r="FT114" s="364">
        <v>44.0730848883749</v>
      </c>
      <c r="FU114" s="364">
        <v>47.891565232367007</v>
      </c>
      <c r="FV114" s="364">
        <v>53.31405543991275</v>
      </c>
      <c r="FW114" s="364">
        <v>51.811157485617343</v>
      </c>
      <c r="FX114" s="364">
        <f>'EDE''s'!C114</f>
        <v>43.54008860471879</v>
      </c>
      <c r="FY114" s="414"/>
      <c r="FZ114" s="414"/>
      <c r="GA114" s="414"/>
      <c r="GB114" s="414"/>
      <c r="GC114" s="414"/>
      <c r="GD114" s="414"/>
      <c r="GE114" s="414"/>
      <c r="GF114" s="414"/>
    </row>
    <row r="115" spans="1:188" ht="13.8" x14ac:dyDescent="0.3">
      <c r="A115" s="46"/>
      <c r="B115" s="264" t="s">
        <v>20</v>
      </c>
      <c r="C115" s="288">
        <v>28.335456790916009</v>
      </c>
      <c r="D115" s="288">
        <v>27.329185085475611</v>
      </c>
      <c r="E115" s="288">
        <v>1.0062717054403976</v>
      </c>
      <c r="F115" s="285">
        <v>3.682040654681619E-2</v>
      </c>
      <c r="G115" s="284"/>
      <c r="H115" s="288">
        <v>27.140904038430332</v>
      </c>
      <c r="I115" s="288">
        <v>0.18828104704527959</v>
      </c>
      <c r="J115" s="285">
        <v>6.937169328578071E-3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2.9660637124184381</v>
      </c>
      <c r="FG115" s="364">
        <v>3.4587501038935282</v>
      </c>
      <c r="FH115" s="364">
        <v>2.3587365443365811</v>
      </c>
      <c r="FI115" s="364">
        <v>2.1872382810661413</v>
      </c>
      <c r="FJ115" s="364">
        <v>2.2553409822713038</v>
      </c>
      <c r="FK115" s="410"/>
      <c r="FL115" s="22">
        <v>22.321615574403459</v>
      </c>
      <c r="FM115" s="22">
        <v>23.541355669598072</v>
      </c>
      <c r="FN115" s="22">
        <v>28.501926173283312</v>
      </c>
      <c r="FO115" s="22">
        <v>33.181164839918708</v>
      </c>
      <c r="FP115" s="22">
        <v>29.73681176679068</v>
      </c>
      <c r="FQ115" s="22">
        <v>30.838299200811385</v>
      </c>
      <c r="FR115" s="22">
        <v>31.36015184563286</v>
      </c>
      <c r="FS115" s="309">
        <v>30.668723198530344</v>
      </c>
      <c r="FT115" s="364">
        <v>28.883934496669003</v>
      </c>
      <c r="FU115" s="364">
        <v>28.876968892725515</v>
      </c>
      <c r="FV115" s="364">
        <v>31.585202908591473</v>
      </c>
      <c r="FW115" s="364">
        <v>31.197054699848486</v>
      </c>
      <c r="FX115" s="364">
        <f>'EDE''s'!C115</f>
        <v>28.335456790916009</v>
      </c>
      <c r="FY115" s="414"/>
      <c r="FZ115" s="414"/>
      <c r="GA115" s="414"/>
      <c r="GB115" s="414"/>
      <c r="GC115" s="414"/>
      <c r="GD115" s="414"/>
      <c r="GE115" s="414"/>
      <c r="GF115" s="414"/>
    </row>
    <row r="116" spans="1:188" ht="13.8" x14ac:dyDescent="0.3">
      <c r="A116" s="46"/>
      <c r="B116" s="263" t="s">
        <v>41</v>
      </c>
      <c r="C116" s="286">
        <v>133.24366486149916</v>
      </c>
      <c r="D116" s="286">
        <v>119.65800025726109</v>
      </c>
      <c r="E116" s="286">
        <v>13.585664604238062</v>
      </c>
      <c r="F116" s="289">
        <v>0.11353745320019801</v>
      </c>
      <c r="G116" s="287"/>
      <c r="H116" s="286">
        <v>155.87947868754048</v>
      </c>
      <c r="I116" s="286">
        <v>-36.22147843027939</v>
      </c>
      <c r="J116" s="289">
        <v>-0.23236848580232383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13.088981151456405</v>
      </c>
      <c r="FG116" s="362">
        <v>13.313698997592905</v>
      </c>
      <c r="FH116" s="362">
        <v>10.641539498751335</v>
      </c>
      <c r="FI116" s="362">
        <v>15.921047832547949</v>
      </c>
      <c r="FJ116" s="362">
        <v>13.998207952165806</v>
      </c>
      <c r="FK116" s="410"/>
      <c r="FL116" s="28">
        <v>108.03604572858345</v>
      </c>
      <c r="FM116" s="28">
        <v>98.738245824024176</v>
      </c>
      <c r="FN116" s="28">
        <v>127.42911999938897</v>
      </c>
      <c r="FO116" s="28">
        <v>148.20854854249785</v>
      </c>
      <c r="FP116" s="28">
        <v>135.4778384612284</v>
      </c>
      <c r="FQ116" s="28">
        <v>145.16244883141999</v>
      </c>
      <c r="FR116" s="28">
        <v>139.06490891202358</v>
      </c>
      <c r="FS116" s="308">
        <v>140.19545662514724</v>
      </c>
      <c r="FT116" s="362">
        <v>137.50180836612503</v>
      </c>
      <c r="FU116" s="362">
        <v>149.42651591187172</v>
      </c>
      <c r="FV116" s="362">
        <v>168.80336831932527</v>
      </c>
      <c r="FW116" s="362">
        <v>130.32746316867463</v>
      </c>
      <c r="FX116" s="362">
        <f>'EDE''s'!C116</f>
        <v>133.24366486149916</v>
      </c>
      <c r="FY116" s="414"/>
      <c r="FZ116" s="414"/>
      <c r="GA116" s="414"/>
      <c r="GB116" s="414"/>
      <c r="GC116" s="414"/>
      <c r="GD116" s="414"/>
      <c r="GE116" s="414"/>
      <c r="GF116" s="414"/>
    </row>
    <row r="117" spans="1:188" ht="13.8" x14ac:dyDescent="0.3">
      <c r="A117" s="46"/>
      <c r="B117" s="264" t="s">
        <v>18</v>
      </c>
      <c r="C117" s="288">
        <v>45.095467372956264</v>
      </c>
      <c r="D117" s="288">
        <v>48.779156596627146</v>
      </c>
      <c r="E117" s="288">
        <v>-3.683689223670882</v>
      </c>
      <c r="F117" s="285">
        <v>-7.5517689945577948E-2</v>
      </c>
      <c r="G117" s="284"/>
      <c r="H117" s="288">
        <v>62.579560580395942</v>
      </c>
      <c r="I117" s="288">
        <v>-13.800403983768796</v>
      </c>
      <c r="J117" s="285">
        <v>-0.22052574124484975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364">
        <v>4.2455246055467866</v>
      </c>
      <c r="FH117" s="364">
        <v>3.4929778210366642</v>
      </c>
      <c r="FI117" s="364">
        <v>5.4504386046265259</v>
      </c>
      <c r="FJ117" s="364">
        <v>5.9065076912422789</v>
      </c>
      <c r="FK117" s="410"/>
      <c r="FL117" s="22">
        <v>34.608205750387327</v>
      </c>
      <c r="FM117" s="22">
        <v>26.197452850101584</v>
      </c>
      <c r="FN117" s="22">
        <v>30.12878136299031</v>
      </c>
      <c r="FO117" s="22">
        <v>33.349273196188044</v>
      </c>
      <c r="FP117" s="22">
        <v>37.19661161999003</v>
      </c>
      <c r="FQ117" s="22">
        <v>43.262916043552728</v>
      </c>
      <c r="FR117" s="22">
        <v>46.068407742795813</v>
      </c>
      <c r="FS117" s="309">
        <v>43.306872059543267</v>
      </c>
      <c r="FT117" s="364">
        <v>49.821259361795768</v>
      </c>
      <c r="FU117" s="364">
        <v>60.665577644650114</v>
      </c>
      <c r="FV117" s="364">
        <v>68.323870025047412</v>
      </c>
      <c r="FW117" s="364">
        <v>52.768144126857003</v>
      </c>
      <c r="FX117" s="364">
        <f>'EDE''s'!C117</f>
        <v>45.095467372956264</v>
      </c>
      <c r="FY117" s="414"/>
      <c r="FZ117" s="414"/>
      <c r="GA117" s="414"/>
      <c r="GB117" s="414"/>
      <c r="GC117" s="414"/>
      <c r="GD117" s="414"/>
      <c r="GE117" s="414"/>
      <c r="GF117" s="414"/>
    </row>
    <row r="118" spans="1:188" ht="13.8" x14ac:dyDescent="0.3">
      <c r="A118" s="46"/>
      <c r="B118" s="264" t="s">
        <v>19</v>
      </c>
      <c r="C118" s="288">
        <v>57.856749819033112</v>
      </c>
      <c r="D118" s="288">
        <v>47.380240798316656</v>
      </c>
      <c r="E118" s="288">
        <v>10.476509020716456</v>
      </c>
      <c r="F118" s="285">
        <v>0.22111557147444194</v>
      </c>
      <c r="G118" s="284"/>
      <c r="H118" s="288">
        <v>67.146062989840559</v>
      </c>
      <c r="I118" s="288">
        <v>-19.765822191523903</v>
      </c>
      <c r="J118" s="285">
        <v>-0.29437053062239171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364">
        <v>6.376280515939432</v>
      </c>
      <c r="FH118" s="364">
        <v>4.0982496352192079</v>
      </c>
      <c r="FI118" s="364">
        <v>6.5060212205038042</v>
      </c>
      <c r="FJ118" s="364">
        <v>4.6789332723336425</v>
      </c>
      <c r="FK118" s="410"/>
      <c r="FL118" s="22">
        <v>46.926754794121116</v>
      </c>
      <c r="FM118" s="22">
        <v>36.573818361228298</v>
      </c>
      <c r="FN118" s="22">
        <v>59.94928307258909</v>
      </c>
      <c r="FO118" s="22">
        <v>71.262527175578199</v>
      </c>
      <c r="FP118" s="22">
        <v>57.732305620209956</v>
      </c>
      <c r="FQ118" s="22">
        <v>65.994099565892753</v>
      </c>
      <c r="FR118" s="22">
        <v>62.626521984991129</v>
      </c>
      <c r="FS118" s="309">
        <v>69.930437969589036</v>
      </c>
      <c r="FT118" s="364">
        <v>61.738110315283627</v>
      </c>
      <c r="FU118" s="364">
        <v>62.427978435246203</v>
      </c>
      <c r="FV118" s="364">
        <v>71.62360997543621</v>
      </c>
      <c r="FW118" s="364">
        <v>52.428397082486534</v>
      </c>
      <c r="FX118" s="364">
        <f>'EDE''s'!C118</f>
        <v>57.856749819033112</v>
      </c>
      <c r="FY118" s="414"/>
      <c r="FZ118" s="414"/>
      <c r="GA118" s="414"/>
      <c r="GB118" s="414"/>
      <c r="GC118" s="414"/>
      <c r="GD118" s="414"/>
      <c r="GE118" s="414"/>
      <c r="GF118" s="414"/>
    </row>
    <row r="119" spans="1:188" ht="13.8" x14ac:dyDescent="0.3">
      <c r="A119" s="46"/>
      <c r="B119" s="264" t="s">
        <v>20</v>
      </c>
      <c r="C119" s="288">
        <v>30.291447669509786</v>
      </c>
      <c r="D119" s="288">
        <v>23.498602862317274</v>
      </c>
      <c r="E119" s="288">
        <v>6.7928448071925125</v>
      </c>
      <c r="F119" s="285">
        <v>0.28907441208284024</v>
      </c>
      <c r="G119" s="284"/>
      <c r="H119" s="288">
        <v>26.153855117303969</v>
      </c>
      <c r="I119" s="288">
        <v>-2.6552522549866957</v>
      </c>
      <c r="J119" s="285">
        <v>-0.10152431613150301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3.4793090963290876</v>
      </c>
      <c r="FG119" s="364">
        <v>2.6918938761066871</v>
      </c>
      <c r="FH119" s="364">
        <v>3.0503120424954635</v>
      </c>
      <c r="FI119" s="364">
        <v>3.9645880074176172</v>
      </c>
      <c r="FJ119" s="364">
        <v>3.4127669885898846</v>
      </c>
      <c r="FK119" s="410"/>
      <c r="FL119" s="22">
        <v>26.501085184075016</v>
      </c>
      <c r="FM119" s="22">
        <v>35.966974612694301</v>
      </c>
      <c r="FN119" s="22">
        <v>37.351055563809581</v>
      </c>
      <c r="FO119" s="22">
        <v>43.596748170731615</v>
      </c>
      <c r="FP119" s="22">
        <v>40.548921221028429</v>
      </c>
      <c r="FQ119" s="22">
        <v>35.905433221974498</v>
      </c>
      <c r="FR119" s="22">
        <v>30.36997918423663</v>
      </c>
      <c r="FS119" s="309">
        <v>26.958146596014952</v>
      </c>
      <c r="FT119" s="364">
        <v>25.942438689045652</v>
      </c>
      <c r="FU119" s="364">
        <v>26.332959831975387</v>
      </c>
      <c r="FV119" s="364">
        <v>28.855888318841668</v>
      </c>
      <c r="FW119" s="364">
        <v>25.130921959331097</v>
      </c>
      <c r="FX119" s="364">
        <f>'EDE''s'!C119</f>
        <v>30.291447669509786</v>
      </c>
      <c r="FY119" s="414"/>
      <c r="FZ119" s="414"/>
      <c r="GA119" s="414"/>
      <c r="GB119" s="414"/>
      <c r="GC119" s="414"/>
      <c r="GD119" s="414"/>
      <c r="GE119" s="414"/>
      <c r="GF119" s="414"/>
    </row>
    <row r="120" spans="1:188" ht="13.8" x14ac:dyDescent="0.3">
      <c r="A120" s="46"/>
      <c r="B120" s="263" t="s">
        <v>42</v>
      </c>
      <c r="C120" s="286">
        <v>15.393810059725993</v>
      </c>
      <c r="D120" s="286">
        <v>16.48680749268091</v>
      </c>
      <c r="E120" s="286">
        <v>-1.0929974329549168</v>
      </c>
      <c r="F120" s="289">
        <v>-6.6295274778949045E-2</v>
      </c>
      <c r="G120" s="287"/>
      <c r="H120" s="286">
        <v>16.729327769010009</v>
      </c>
      <c r="I120" s="286">
        <v>-0.242520276329099</v>
      </c>
      <c r="J120" s="289">
        <v>-1.4496713775813038E-2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362">
        <v>1.3135247044594902</v>
      </c>
      <c r="FH120" s="362">
        <v>1.2249353977756128</v>
      </c>
      <c r="FI120" s="362">
        <v>1.6319604568929171</v>
      </c>
      <c r="FJ120" s="362">
        <v>1.6276705873952779</v>
      </c>
      <c r="FK120" s="410"/>
      <c r="FL120" s="28">
        <v>12.254263473377275</v>
      </c>
      <c r="FM120" s="28">
        <v>9.1769839167073215</v>
      </c>
      <c r="FN120" s="28">
        <v>10.050228130054286</v>
      </c>
      <c r="FO120" s="28">
        <v>14.806942002377983</v>
      </c>
      <c r="FP120" s="28">
        <v>15.207773727069924</v>
      </c>
      <c r="FQ120" s="28">
        <v>17.549458394532394</v>
      </c>
      <c r="FR120" s="28">
        <v>16.005846460102656</v>
      </c>
      <c r="FS120" s="308">
        <v>17.049261811321774</v>
      </c>
      <c r="FT120" s="362">
        <v>16.128029054503166</v>
      </c>
      <c r="FU120" s="362">
        <v>15.367464624358917</v>
      </c>
      <c r="FV120" s="362">
        <v>18.680961565204278</v>
      </c>
      <c r="FW120" s="362">
        <v>19.003212037148415</v>
      </c>
      <c r="FX120" s="362">
        <f>'EDE''s'!C120</f>
        <v>15.393810059725993</v>
      </c>
      <c r="FY120" s="414"/>
      <c r="FZ120" s="414"/>
      <c r="GA120" s="414"/>
      <c r="GB120" s="414"/>
      <c r="GC120" s="414"/>
      <c r="GD120" s="414"/>
      <c r="GE120" s="414"/>
      <c r="GF120" s="414"/>
    </row>
    <row r="121" spans="1:188" ht="13.8" x14ac:dyDescent="0.3">
      <c r="A121" s="46"/>
      <c r="B121" s="264" t="s">
        <v>18</v>
      </c>
      <c r="C121" s="288">
        <v>4.0335198675583994</v>
      </c>
      <c r="D121" s="288">
        <v>4.3455772771571883</v>
      </c>
      <c r="E121" s="288">
        <v>-0.31205740959878892</v>
      </c>
      <c r="F121" s="285">
        <v>-7.181034640417952E-2</v>
      </c>
      <c r="G121" s="284"/>
      <c r="H121" s="288">
        <v>4.7928890733778573</v>
      </c>
      <c r="I121" s="288">
        <v>-0.44731179622066897</v>
      </c>
      <c r="J121" s="285">
        <v>-9.3328217985529038E-2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364">
        <v>0.33003586139113655</v>
      </c>
      <c r="FH121" s="364">
        <v>0.35325534364594158</v>
      </c>
      <c r="FI121" s="364">
        <v>0.42088995047253697</v>
      </c>
      <c r="FJ121" s="364">
        <v>0.49470433097796956</v>
      </c>
      <c r="FK121" s="410"/>
      <c r="FL121" s="22">
        <v>3.5580313203779594</v>
      </c>
      <c r="FM121" s="22">
        <v>3.2979470636547812</v>
      </c>
      <c r="FN121" s="22">
        <v>3.3544806565999075</v>
      </c>
      <c r="FO121" s="22">
        <v>3.6203587384651854</v>
      </c>
      <c r="FP121" s="22">
        <v>3.9283211917242102</v>
      </c>
      <c r="FQ121" s="22">
        <v>4.418450972099591</v>
      </c>
      <c r="FR121" s="22">
        <v>4.27912721953484</v>
      </c>
      <c r="FS121" s="309">
        <v>4.3418865987915387</v>
      </c>
      <c r="FT121" s="364">
        <v>4.6298942232933982</v>
      </c>
      <c r="FU121" s="364">
        <v>4.563867781256949</v>
      </c>
      <c r="FV121" s="364">
        <v>5.1798960941413394</v>
      </c>
      <c r="FW121" s="364">
        <v>4.7340033273943467</v>
      </c>
      <c r="FX121" s="364">
        <f>'EDE''s'!C121</f>
        <v>4.0335198675583994</v>
      </c>
      <c r="FY121" s="414"/>
      <c r="FZ121" s="414"/>
      <c r="GA121" s="414"/>
      <c r="GB121" s="414"/>
      <c r="GC121" s="414"/>
      <c r="GD121" s="414"/>
      <c r="GE121" s="414"/>
      <c r="GF121" s="414"/>
    </row>
    <row r="122" spans="1:188" ht="13.8" x14ac:dyDescent="0.3">
      <c r="A122" s="46"/>
      <c r="B122" s="264" t="s">
        <v>19</v>
      </c>
      <c r="C122" s="288">
        <v>7.8176644890763045</v>
      </c>
      <c r="D122" s="288">
        <v>8.5284076782358866</v>
      </c>
      <c r="E122" s="288">
        <v>-0.71074318915958212</v>
      </c>
      <c r="F122" s="285">
        <v>-8.3338322460049227E-2</v>
      </c>
      <c r="G122" s="284"/>
      <c r="H122" s="288">
        <v>7.9377186583261681</v>
      </c>
      <c r="I122" s="288">
        <v>0.59068901990971856</v>
      </c>
      <c r="J122" s="285">
        <v>7.4415464358909084E-2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364">
        <v>0.70525023505426676</v>
      </c>
      <c r="FH122" s="364">
        <v>0.67848377635874491</v>
      </c>
      <c r="FI122" s="364">
        <v>0.71678854669705439</v>
      </c>
      <c r="FJ122" s="364">
        <v>0.71547506434938357</v>
      </c>
      <c r="FK122" s="410"/>
      <c r="FL122" s="22">
        <v>6.2057626129773871</v>
      </c>
      <c r="FM122" s="22">
        <v>4.1046917732696411</v>
      </c>
      <c r="FN122" s="22">
        <v>4.6116658841257774</v>
      </c>
      <c r="FO122" s="22">
        <v>7.0281744392442427</v>
      </c>
      <c r="FP122" s="22">
        <v>8.2680564973079154</v>
      </c>
      <c r="FQ122" s="22">
        <v>9.9395084053069471</v>
      </c>
      <c r="FR122" s="22">
        <v>8.6089559875473309</v>
      </c>
      <c r="FS122" s="309">
        <v>9.3951635525696169</v>
      </c>
      <c r="FT122" s="364">
        <v>8.2017610840230049</v>
      </c>
      <c r="FU122" s="364">
        <v>6.9295426763895094</v>
      </c>
      <c r="FV122" s="364">
        <v>8.8240089039385072</v>
      </c>
      <c r="FW122" s="364">
        <v>10.449821926829568</v>
      </c>
      <c r="FX122" s="364">
        <f>'EDE''s'!C122</f>
        <v>7.8176644890763045</v>
      </c>
      <c r="FY122" s="414"/>
      <c r="FZ122" s="414"/>
      <c r="GA122" s="414"/>
      <c r="GB122" s="414"/>
      <c r="GC122" s="414"/>
      <c r="GD122" s="414"/>
      <c r="GE122" s="414"/>
      <c r="GF122" s="414"/>
    </row>
    <row r="123" spans="1:188" ht="13.8" x14ac:dyDescent="0.3">
      <c r="A123" s="46"/>
      <c r="B123" s="264" t="s">
        <v>20</v>
      </c>
      <c r="C123" s="288">
        <v>3.5426257030912911</v>
      </c>
      <c r="D123" s="288">
        <v>3.6128225372878418</v>
      </c>
      <c r="E123" s="288">
        <v>-7.019683419655065E-2</v>
      </c>
      <c r="F123" s="285">
        <v>-1.9429914830316478E-2</v>
      </c>
      <c r="G123" s="284"/>
      <c r="H123" s="288">
        <v>3.9987200373059846</v>
      </c>
      <c r="I123" s="288">
        <v>-0.38589750001814282</v>
      </c>
      <c r="J123" s="285">
        <v>-9.6505255786331443E-2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364">
        <v>0.2782386080140869</v>
      </c>
      <c r="FH123" s="364">
        <v>0.19319627777092618</v>
      </c>
      <c r="FI123" s="364">
        <v>0.49428195972332573</v>
      </c>
      <c r="FJ123" s="364">
        <v>0.41749119206792468</v>
      </c>
      <c r="FK123" s="410"/>
      <c r="FL123" s="22">
        <v>2.490469540021929</v>
      </c>
      <c r="FM123" s="22">
        <v>1.7743450797828992</v>
      </c>
      <c r="FN123" s="22">
        <v>2.0840815893286009</v>
      </c>
      <c r="FO123" s="22">
        <v>4.1584088246685553</v>
      </c>
      <c r="FP123" s="22">
        <v>3.0113960380377991</v>
      </c>
      <c r="FQ123" s="22">
        <v>3.1914990171258548</v>
      </c>
      <c r="FR123" s="22">
        <v>3.1177632530204855</v>
      </c>
      <c r="FS123" s="309">
        <v>3.3122116599606182</v>
      </c>
      <c r="FT123" s="364">
        <v>3.2963737471867631</v>
      </c>
      <c r="FU123" s="364">
        <v>3.8740541667124582</v>
      </c>
      <c r="FV123" s="364">
        <v>4.6770565671244313</v>
      </c>
      <c r="FW123" s="364">
        <v>3.8193867829245005</v>
      </c>
      <c r="FX123" s="364">
        <f>'EDE''s'!C123</f>
        <v>3.5426257030912911</v>
      </c>
      <c r="FY123" s="414"/>
      <c r="FZ123" s="414"/>
      <c r="GA123" s="414"/>
      <c r="GB123" s="414"/>
      <c r="GC123" s="414"/>
      <c r="GD123" s="414"/>
      <c r="GE123" s="414"/>
      <c r="GF123" s="414"/>
    </row>
    <row r="124" spans="1:188" ht="13.8" x14ac:dyDescent="0.3">
      <c r="A124" s="46"/>
      <c r="B124" s="263" t="s">
        <v>43</v>
      </c>
      <c r="C124" s="286">
        <v>8.7905002655727138</v>
      </c>
      <c r="D124" s="286">
        <v>10.133105010186302</v>
      </c>
      <c r="E124" s="286">
        <v>-1.3426047446135883</v>
      </c>
      <c r="F124" s="289">
        <v>-0.13249687467601837</v>
      </c>
      <c r="G124" s="287"/>
      <c r="H124" s="286">
        <v>12.760211595998165</v>
      </c>
      <c r="I124" s="286">
        <v>-2.6271065858118625</v>
      </c>
      <c r="J124" s="289">
        <v>-0.2058826819639708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362">
        <v>0.60204258227357332</v>
      </c>
      <c r="FH124" s="362">
        <v>0.44833347574833948</v>
      </c>
      <c r="FI124" s="362">
        <v>0.9497275584323206</v>
      </c>
      <c r="FJ124" s="362">
        <v>0.5522146961651293</v>
      </c>
      <c r="FK124" s="410"/>
      <c r="FL124" s="28">
        <v>9.9379900227063445</v>
      </c>
      <c r="FM124" s="28">
        <v>10.33988895050261</v>
      </c>
      <c r="FN124" s="28">
        <v>11.35918003202997</v>
      </c>
      <c r="FO124" s="28">
        <v>10.731608926352671</v>
      </c>
      <c r="FP124" s="28">
        <v>11.924114345057317</v>
      </c>
      <c r="FQ124" s="28">
        <v>14.16167744860269</v>
      </c>
      <c r="FR124" s="28">
        <v>11.75524352846179</v>
      </c>
      <c r="FS124" s="308">
        <v>8.2643117127364398</v>
      </c>
      <c r="FT124" s="362">
        <v>8.797490788285053</v>
      </c>
      <c r="FU124" s="362">
        <v>10.772210691682879</v>
      </c>
      <c r="FV124" s="362">
        <v>13.526399214264583</v>
      </c>
      <c r="FW124" s="362">
        <v>10.787901266578269</v>
      </c>
      <c r="FX124" s="362">
        <f>'EDE''s'!C124</f>
        <v>8.7905002655727138</v>
      </c>
      <c r="FY124" s="414"/>
      <c r="FZ124" s="414"/>
      <c r="GA124" s="414"/>
      <c r="GB124" s="414"/>
      <c r="GC124" s="414"/>
      <c r="GD124" s="414"/>
      <c r="GE124" s="414"/>
      <c r="GF124" s="414"/>
    </row>
    <row r="125" spans="1:188" ht="13.8" x14ac:dyDescent="0.3">
      <c r="A125" s="46"/>
      <c r="B125" s="264" t="s">
        <v>18</v>
      </c>
      <c r="C125" s="288">
        <v>3.2324433997468596</v>
      </c>
      <c r="D125" s="288">
        <v>3.4049231435554388</v>
      </c>
      <c r="E125" s="288">
        <v>-0.17247974380857922</v>
      </c>
      <c r="F125" s="285">
        <v>-5.0655987385511136E-2</v>
      </c>
      <c r="G125" s="284"/>
      <c r="H125" s="288">
        <v>3.7478062291398069</v>
      </c>
      <c r="I125" s="288">
        <v>-0.34288308558436809</v>
      </c>
      <c r="J125" s="285">
        <v>-9.148901106956811E-2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364">
        <v>0.34605374220298918</v>
      </c>
      <c r="FH125" s="364">
        <v>0.22896486425060344</v>
      </c>
      <c r="FI125" s="364">
        <v>0.27972402303142047</v>
      </c>
      <c r="FJ125" s="364">
        <v>0.33230243558009642</v>
      </c>
      <c r="FK125" s="410"/>
      <c r="FL125" s="22">
        <v>4.148969123813405</v>
      </c>
      <c r="FM125" s="22">
        <v>3.4918028165655408</v>
      </c>
      <c r="FN125" s="22">
        <v>2.8105063836761315</v>
      </c>
      <c r="FO125" s="22">
        <v>2.2618547608587334</v>
      </c>
      <c r="FP125" s="22">
        <v>4.0144746302370153</v>
      </c>
      <c r="FQ125" s="22">
        <v>5.0030091549462909</v>
      </c>
      <c r="FR125" s="22">
        <v>4.425224616719051</v>
      </c>
      <c r="FS125" s="309">
        <v>2.4303298675696574</v>
      </c>
      <c r="FT125" s="364">
        <v>2.9364472326188138</v>
      </c>
      <c r="FU125" s="364">
        <v>3.542407290303522</v>
      </c>
      <c r="FV125" s="364">
        <v>4.1441802082591446</v>
      </c>
      <c r="FW125" s="364">
        <v>3.8028177036544863</v>
      </c>
      <c r="FX125" s="364">
        <f>'EDE''s'!C125</f>
        <v>3.2324433997468596</v>
      </c>
      <c r="FY125" s="414"/>
      <c r="FZ125" s="414"/>
      <c r="GA125" s="414"/>
      <c r="GB125" s="414"/>
      <c r="GC125" s="414"/>
      <c r="GD125" s="414"/>
      <c r="GE125" s="414"/>
      <c r="GF125" s="414"/>
    </row>
    <row r="126" spans="1:188" ht="13.8" x14ac:dyDescent="0.3">
      <c r="A126" s="46"/>
      <c r="B126" s="264" t="s">
        <v>19</v>
      </c>
      <c r="C126" s="288">
        <v>3.120986078718297</v>
      </c>
      <c r="D126" s="288">
        <v>3.7466976946678674</v>
      </c>
      <c r="E126" s="288">
        <v>-0.62571161594957037</v>
      </c>
      <c r="F126" s="285">
        <v>-0.16700349666322298</v>
      </c>
      <c r="G126" s="284"/>
      <c r="H126" s="288">
        <v>6.9528106318717384</v>
      </c>
      <c r="I126" s="288">
        <v>-3.206112937203871</v>
      </c>
      <c r="J126" s="285">
        <v>-0.46112473170303592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364">
        <v>8.0090406063688127E-2</v>
      </c>
      <c r="FH126" s="364">
        <v>0.12120388819394282</v>
      </c>
      <c r="FI126" s="364">
        <v>5.5997473196954396E-2</v>
      </c>
      <c r="FJ126" s="364">
        <v>1.2249301853262248E-2</v>
      </c>
      <c r="FK126" s="410"/>
      <c r="FL126" s="22">
        <v>3.8695178710334432</v>
      </c>
      <c r="FM126" s="22">
        <v>4.5483053158493991</v>
      </c>
      <c r="FN126" s="22">
        <v>5.4177707788402119</v>
      </c>
      <c r="FO126" s="22">
        <v>5.979844865953984</v>
      </c>
      <c r="FP126" s="22">
        <v>5.8295610667193003</v>
      </c>
      <c r="FQ126" s="22">
        <v>5.9760568400081926</v>
      </c>
      <c r="FR126" s="22">
        <v>5.7719288630204657</v>
      </c>
      <c r="FS126" s="309">
        <v>4.6129827007847943</v>
      </c>
      <c r="FT126" s="364">
        <v>4.0815144709110625</v>
      </c>
      <c r="FU126" s="364">
        <v>3.9396511419475693</v>
      </c>
      <c r="FV126" s="364">
        <v>7.2470244811862372</v>
      </c>
      <c r="FW126" s="364">
        <v>3.9357040665696292</v>
      </c>
      <c r="FX126" s="364">
        <f>'EDE''s'!C126</f>
        <v>3.120986078718297</v>
      </c>
      <c r="FY126" s="414"/>
      <c r="FZ126" s="414"/>
      <c r="GA126" s="414"/>
      <c r="GB126" s="414"/>
      <c r="GC126" s="414"/>
      <c r="GD126" s="414"/>
      <c r="GE126" s="414"/>
      <c r="GF126" s="414"/>
    </row>
    <row r="127" spans="1:188" ht="13.8" x14ac:dyDescent="0.3">
      <c r="A127" s="46"/>
      <c r="B127" s="264" t="s">
        <v>20</v>
      </c>
      <c r="C127" s="288">
        <v>2.4370707871075581</v>
      </c>
      <c r="D127" s="288">
        <v>2.9814841719629963</v>
      </c>
      <c r="E127" s="288">
        <v>-0.54441338485543822</v>
      </c>
      <c r="F127" s="285">
        <v>-0.1825981133741853</v>
      </c>
      <c r="G127" s="284"/>
      <c r="H127" s="288">
        <v>2.059594734986617</v>
      </c>
      <c r="I127" s="288">
        <v>0.92188943697637926</v>
      </c>
      <c r="J127" s="285">
        <v>0.44760720219182809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364">
        <v>0.17589843400689603</v>
      </c>
      <c r="FH127" s="364">
        <v>9.8164723303793236E-2</v>
      </c>
      <c r="FI127" s="364">
        <v>0.61400606220394571</v>
      </c>
      <c r="FJ127" s="364">
        <v>0.2076629587317706</v>
      </c>
      <c r="FK127" s="410"/>
      <c r="FL127" s="22">
        <v>1.9195030278594976</v>
      </c>
      <c r="FM127" s="22">
        <v>2.2997808180876707</v>
      </c>
      <c r="FN127" s="22">
        <v>3.1309028695136258</v>
      </c>
      <c r="FO127" s="22">
        <v>2.4899092995399523</v>
      </c>
      <c r="FP127" s="22">
        <v>2.080078648101003</v>
      </c>
      <c r="FQ127" s="22">
        <v>3.1826114536482066</v>
      </c>
      <c r="FR127" s="22">
        <v>1.5580900487222735</v>
      </c>
      <c r="FS127" s="309">
        <v>1.2209991443819876</v>
      </c>
      <c r="FT127" s="364">
        <v>1.7795290847551777</v>
      </c>
      <c r="FU127" s="364">
        <v>3.2901522594317885</v>
      </c>
      <c r="FV127" s="364">
        <v>2.1351945248192012</v>
      </c>
      <c r="FW127" s="364">
        <v>3.0493794963541521</v>
      </c>
      <c r="FX127" s="364">
        <f>'EDE''s'!C127</f>
        <v>2.4370707871075581</v>
      </c>
      <c r="FY127" s="414"/>
      <c r="FZ127" s="414"/>
      <c r="GA127" s="414"/>
      <c r="GB127" s="414"/>
      <c r="GC127" s="414"/>
      <c r="GD127" s="414"/>
      <c r="GE127" s="414"/>
      <c r="GF127" s="414"/>
    </row>
    <row r="128" spans="1:188" ht="13.8" x14ac:dyDescent="0.3">
      <c r="A128" s="46"/>
      <c r="B128" s="263" t="s">
        <v>44</v>
      </c>
      <c r="C128" s="286">
        <v>36.275198676929932</v>
      </c>
      <c r="D128" s="286">
        <v>40.719816116423061</v>
      </c>
      <c r="E128" s="286">
        <v>-4.444617439493129</v>
      </c>
      <c r="F128" s="289">
        <v>-0.10915121587939912</v>
      </c>
      <c r="G128" s="287"/>
      <c r="H128" s="286">
        <v>49.428812050685139</v>
      </c>
      <c r="I128" s="286">
        <v>-8.7089959342620773</v>
      </c>
      <c r="J128" s="289">
        <v>-0.1761927016439668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3.0646254083093805</v>
      </c>
      <c r="FF128" s="362">
        <v>3.7133102240382128</v>
      </c>
      <c r="FG128" s="362">
        <v>3.0432469147415233</v>
      </c>
      <c r="FH128" s="362">
        <v>3.3853662018358319</v>
      </c>
      <c r="FI128" s="362">
        <v>4.1504665805524645</v>
      </c>
      <c r="FJ128" s="362">
        <v>3.251290274956983</v>
      </c>
      <c r="FK128" s="410"/>
      <c r="FL128" s="28">
        <v>30.389657000486835</v>
      </c>
      <c r="FM128" s="28">
        <v>31.548203773206872</v>
      </c>
      <c r="FN128" s="28">
        <v>36.251906087073486</v>
      </c>
      <c r="FO128" s="28">
        <v>41.049818411078022</v>
      </c>
      <c r="FP128" s="28">
        <v>40.711926423965977</v>
      </c>
      <c r="FQ128" s="28">
        <v>107.31959173078332</v>
      </c>
      <c r="FR128" s="28">
        <v>60.763403292285645</v>
      </c>
      <c r="FS128" s="308">
        <v>71.12496193042891</v>
      </c>
      <c r="FT128" s="362">
        <v>55.639441945105517</v>
      </c>
      <c r="FU128" s="362">
        <v>57.007976514902282</v>
      </c>
      <c r="FV128" s="362">
        <v>53.729385151334924</v>
      </c>
      <c r="FW128" s="362">
        <v>44.613065072616457</v>
      </c>
      <c r="FX128" s="362">
        <f>'EDE''s'!C128</f>
        <v>36.275198676929932</v>
      </c>
      <c r="FY128" s="414"/>
      <c r="FZ128" s="414"/>
      <c r="GA128" s="414"/>
      <c r="GB128" s="414"/>
      <c r="GC128" s="414"/>
      <c r="GD128" s="414"/>
      <c r="GE128" s="414"/>
      <c r="GF128" s="414"/>
    </row>
    <row r="129" spans="1:188" ht="13.8" x14ac:dyDescent="0.3">
      <c r="A129" s="46"/>
      <c r="B129" s="264" t="s">
        <v>18</v>
      </c>
      <c r="C129" s="288">
        <v>21.914241233652248</v>
      </c>
      <c r="D129" s="288">
        <v>25.820632333187227</v>
      </c>
      <c r="E129" s="288">
        <v>-3.9063910995349787</v>
      </c>
      <c r="F129" s="285">
        <v>-0.1512895210747453</v>
      </c>
      <c r="G129" s="284"/>
      <c r="H129" s="288">
        <v>31.226241401211233</v>
      </c>
      <c r="I129" s="288">
        <v>-5.4056090680240061</v>
      </c>
      <c r="J129" s="285">
        <v>-0.17311110224794227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364">
        <v>2.0760635274053167</v>
      </c>
      <c r="FH129" s="364">
        <v>1.7246591791610142</v>
      </c>
      <c r="FI129" s="364">
        <v>2.2914866406790519</v>
      </c>
      <c r="FJ129" s="364">
        <v>1.6250433150686865</v>
      </c>
      <c r="FK129" s="410"/>
      <c r="FL129" s="22">
        <v>8.8324477806459427</v>
      </c>
      <c r="FM129" s="22">
        <v>9.2853843745127111</v>
      </c>
      <c r="FN129" s="22">
        <v>10.808510683257889</v>
      </c>
      <c r="FO129" s="22">
        <v>11.518515455239461</v>
      </c>
      <c r="FP129" s="22">
        <v>11.663958765861754</v>
      </c>
      <c r="FQ129" s="22">
        <v>24.548164259815177</v>
      </c>
      <c r="FR129" s="22">
        <v>34.280278085314059</v>
      </c>
      <c r="FS129" s="309">
        <v>46.232749544400015</v>
      </c>
      <c r="FT129" s="364">
        <v>32.406354147980835</v>
      </c>
      <c r="FU129" s="364">
        <v>35.931943241278425</v>
      </c>
      <c r="FV129" s="364">
        <v>33.756019825031217</v>
      </c>
      <c r="FW129" s="364">
        <v>28.19573617076701</v>
      </c>
      <c r="FX129" s="364">
        <f>'EDE''s'!C129</f>
        <v>21.914241233652248</v>
      </c>
      <c r="FY129" s="414"/>
      <c r="FZ129" s="414"/>
      <c r="GA129" s="414"/>
      <c r="GB129" s="414"/>
      <c r="GC129" s="414"/>
      <c r="GD129" s="414"/>
      <c r="GE129" s="414"/>
      <c r="GF129" s="414"/>
    </row>
    <row r="130" spans="1:188" ht="13.8" x14ac:dyDescent="0.3">
      <c r="A130" s="46"/>
      <c r="B130" s="264" t="s">
        <v>19</v>
      </c>
      <c r="C130" s="288">
        <v>5.7750003321108192</v>
      </c>
      <c r="D130" s="288">
        <v>7.1764329341969759</v>
      </c>
      <c r="E130" s="288">
        <v>-1.4014326020861567</v>
      </c>
      <c r="F130" s="285">
        <v>-0.19528261671729444</v>
      </c>
      <c r="G130" s="284"/>
      <c r="H130" s="288">
        <v>9.5438533033179116</v>
      </c>
      <c r="I130" s="288">
        <v>-2.3674203691209357</v>
      </c>
      <c r="J130" s="285">
        <v>-0.24805707861183326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364">
        <v>0.11209159451271634</v>
      </c>
      <c r="FH130" s="364">
        <v>0.92841862594478408</v>
      </c>
      <c r="FI130" s="364">
        <v>0.62300504121980183</v>
      </c>
      <c r="FJ130" s="364">
        <v>0.5507876771811796</v>
      </c>
      <c r="FK130" s="410"/>
      <c r="FL130" s="22">
        <v>13.46522225592717</v>
      </c>
      <c r="FM130" s="22">
        <v>13.479420407294787</v>
      </c>
      <c r="FN130" s="22">
        <v>14.701255677753368</v>
      </c>
      <c r="FO130" s="22">
        <v>16.446692515800322</v>
      </c>
      <c r="FP130" s="22">
        <v>16.297473604113147</v>
      </c>
      <c r="FQ130" s="22">
        <v>15.404238886340838</v>
      </c>
      <c r="FR130" s="22">
        <v>15.897603463003989</v>
      </c>
      <c r="FS130" s="309">
        <v>14.546556244708949</v>
      </c>
      <c r="FT130" s="364">
        <v>13.872436533750143</v>
      </c>
      <c r="FU130" s="364">
        <v>11.494155090322744</v>
      </c>
      <c r="FV130" s="364">
        <v>10.457708564874284</v>
      </c>
      <c r="FW130" s="364">
        <v>7.9544414568170732</v>
      </c>
      <c r="FX130" s="364">
        <f>'EDE''s'!C130</f>
        <v>5.7750003321108192</v>
      </c>
      <c r="FY130" s="414"/>
      <c r="FZ130" s="414"/>
      <c r="GA130" s="414"/>
      <c r="GB130" s="414"/>
      <c r="GC130" s="414"/>
      <c r="GD130" s="414"/>
      <c r="GE130" s="414"/>
      <c r="GF130" s="414"/>
    </row>
    <row r="131" spans="1:188" ht="13.8" x14ac:dyDescent="0.3">
      <c r="A131" s="46"/>
      <c r="B131" s="264" t="s">
        <v>20</v>
      </c>
      <c r="C131" s="288">
        <v>8.5859571111668647</v>
      </c>
      <c r="D131" s="288">
        <v>7.7227508490388583</v>
      </c>
      <c r="E131" s="288">
        <v>0.86320626212800633</v>
      </c>
      <c r="F131" s="285">
        <v>0.111774454336493</v>
      </c>
      <c r="G131" s="284"/>
      <c r="H131" s="288">
        <v>8.6587173461560027</v>
      </c>
      <c r="I131" s="288">
        <v>-0.93596649711714441</v>
      </c>
      <c r="J131" s="285">
        <v>-0.10809528244188066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0.70205341229356966</v>
      </c>
      <c r="FF131" s="364">
        <v>0.75077155270685159</v>
      </c>
      <c r="FG131" s="364">
        <v>0.85509179282349002</v>
      </c>
      <c r="FH131" s="364">
        <v>0.73228839673003387</v>
      </c>
      <c r="FI131" s="364">
        <v>1.2359748986536105</v>
      </c>
      <c r="FJ131" s="364">
        <v>1.0754592827071168</v>
      </c>
      <c r="FK131" s="410"/>
      <c r="FL131" s="22">
        <v>8.0919869639137243</v>
      </c>
      <c r="FM131" s="22">
        <v>8.7833989913993751</v>
      </c>
      <c r="FN131" s="22">
        <v>10.742139726062227</v>
      </c>
      <c r="FO131" s="22">
        <v>13.084610440038237</v>
      </c>
      <c r="FP131" s="22">
        <v>12.750494053991073</v>
      </c>
      <c r="FQ131" s="22">
        <v>67.3671885846273</v>
      </c>
      <c r="FR131" s="22">
        <v>10.5855217439676</v>
      </c>
      <c r="FS131" s="309">
        <v>10.345656141319949</v>
      </c>
      <c r="FT131" s="364">
        <v>9.3606512633745353</v>
      </c>
      <c r="FU131" s="364">
        <v>9.581878183301118</v>
      </c>
      <c r="FV131" s="364">
        <v>9.5156567614294278</v>
      </c>
      <c r="FW131" s="364">
        <v>8.4628874450323703</v>
      </c>
      <c r="FX131" s="364">
        <f>'EDE''s'!C131</f>
        <v>8.5859571111668647</v>
      </c>
      <c r="FY131" s="414"/>
      <c r="FZ131" s="414"/>
      <c r="GA131" s="414"/>
      <c r="GB131" s="414"/>
      <c r="GC131" s="414"/>
      <c r="GD131" s="414"/>
      <c r="GE131" s="414"/>
      <c r="GF131" s="414"/>
    </row>
    <row r="132" spans="1:188" ht="13.8" x14ac:dyDescent="0.3">
      <c r="A132" s="46"/>
      <c r="B132" s="263" t="s">
        <v>45</v>
      </c>
      <c r="C132" s="286">
        <v>18.942310179714479</v>
      </c>
      <c r="D132" s="286">
        <v>17.159816261966288</v>
      </c>
      <c r="E132" s="286">
        <v>1.7824939177481909</v>
      </c>
      <c r="F132" s="289">
        <v>0.10387604916836916</v>
      </c>
      <c r="G132" s="287"/>
      <c r="H132" s="286">
        <v>19.097976126846291</v>
      </c>
      <c r="I132" s="286">
        <v>-1.9381598648800029</v>
      </c>
      <c r="J132" s="289">
        <v>-0.10148509203315552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1.6974463115806109</v>
      </c>
      <c r="FG132" s="362">
        <v>0.85931254310433192</v>
      </c>
      <c r="FH132" s="362">
        <v>1.3996466061917932</v>
      </c>
      <c r="FI132" s="362">
        <v>1.5161022508858673</v>
      </c>
      <c r="FJ132" s="362">
        <v>1.8075519968745593</v>
      </c>
      <c r="FK132" s="410"/>
      <c r="FL132" s="28">
        <v>1.2660027563511556</v>
      </c>
      <c r="FM132" s="28">
        <v>7.8629224313740833</v>
      </c>
      <c r="FN132" s="28">
        <v>10.073871636015166</v>
      </c>
      <c r="FO132" s="28">
        <v>12.807913243178715</v>
      </c>
      <c r="FP132" s="28">
        <v>14.271680937911146</v>
      </c>
      <c r="FQ132" s="28">
        <v>14.282126460309428</v>
      </c>
      <c r="FR132" s="28">
        <v>20.243337053884741</v>
      </c>
      <c r="FS132" s="308">
        <v>23.48364977800604</v>
      </c>
      <c r="FT132" s="362">
        <v>23.657910221420931</v>
      </c>
      <c r="FU132" s="362">
        <v>22.700154916792364</v>
      </c>
      <c r="FV132" s="362">
        <v>21.5067831646545</v>
      </c>
      <c r="FW132" s="362">
        <v>18.379924679456593</v>
      </c>
      <c r="FX132" s="362">
        <f>'EDE''s'!C132</f>
        <v>18.942310179714479</v>
      </c>
      <c r="FY132" s="414"/>
      <c r="FZ132" s="414"/>
      <c r="GA132" s="414"/>
      <c r="GB132" s="414"/>
      <c r="GC132" s="414"/>
      <c r="GD132" s="414"/>
      <c r="GE132" s="414"/>
      <c r="GF132" s="414"/>
    </row>
    <row r="133" spans="1:188" ht="13.8" x14ac:dyDescent="0.3">
      <c r="A133" s="46"/>
      <c r="B133" s="264" t="s">
        <v>18</v>
      </c>
      <c r="C133" s="288">
        <v>4.1121745812955801</v>
      </c>
      <c r="D133" s="288">
        <v>4.0648082184746839</v>
      </c>
      <c r="E133" s="288">
        <v>4.7366362820896235E-2</v>
      </c>
      <c r="F133" s="285">
        <v>1.1652791540229277E-2</v>
      </c>
      <c r="G133" s="284"/>
      <c r="H133" s="288">
        <v>4.452424553184156</v>
      </c>
      <c r="I133" s="288">
        <v>-0.3876163347094721</v>
      </c>
      <c r="J133" s="285">
        <v>-8.7057361686739387E-2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364">
        <v>0.30247445701855347</v>
      </c>
      <c r="FH133" s="364">
        <v>0.46939688033333921</v>
      </c>
      <c r="FI133" s="364">
        <v>0.80145283117644972</v>
      </c>
      <c r="FJ133" s="364">
        <v>0.47344684416377536</v>
      </c>
      <c r="FK133" s="410"/>
      <c r="FL133" s="22">
        <v>1.1142001906795</v>
      </c>
      <c r="FM133" s="22">
        <v>5.8247150696729566</v>
      </c>
      <c r="FN133" s="22">
        <v>6.0286905565316928</v>
      </c>
      <c r="FO133" s="22">
        <v>6.0695217412914593</v>
      </c>
      <c r="FP133" s="22">
        <v>6.1878750565996654</v>
      </c>
      <c r="FQ133" s="22">
        <v>5.8279275740662477</v>
      </c>
      <c r="FR133" s="22">
        <v>5.0642873671817528</v>
      </c>
      <c r="FS133" s="309">
        <v>3.9186110245265882</v>
      </c>
      <c r="FT133" s="364">
        <v>3.4650502652858846</v>
      </c>
      <c r="FU133" s="364">
        <v>4.1347984731122747</v>
      </c>
      <c r="FV133" s="364">
        <v>5.1325537586122207</v>
      </c>
      <c r="FW133" s="364">
        <v>4.2159125218150368</v>
      </c>
      <c r="FX133" s="364">
        <f>'EDE''s'!C133</f>
        <v>4.1121745812955801</v>
      </c>
      <c r="FY133" s="414"/>
      <c r="FZ133" s="414"/>
      <c r="GA133" s="414"/>
      <c r="GB133" s="414"/>
      <c r="GC133" s="414"/>
      <c r="GD133" s="414"/>
      <c r="GE133" s="414"/>
      <c r="GF133" s="414"/>
    </row>
    <row r="134" spans="1:188" ht="13.8" x14ac:dyDescent="0.3">
      <c r="A134" s="46"/>
      <c r="B134" s="264" t="s">
        <v>19</v>
      </c>
      <c r="C134" s="288">
        <v>9.4022799983649943</v>
      </c>
      <c r="D134" s="288">
        <v>5.987292258212026</v>
      </c>
      <c r="E134" s="288">
        <v>3.4149877401529682</v>
      </c>
      <c r="F134" s="285">
        <v>0.57037264808128474</v>
      </c>
      <c r="G134" s="284"/>
      <c r="H134" s="288">
        <v>4.3704212684540229</v>
      </c>
      <c r="I134" s="288">
        <v>1.6168709897580031</v>
      </c>
      <c r="J134" s="285">
        <v>0.36995769754020746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364">
        <v>0.25916241121918537</v>
      </c>
      <c r="FH134" s="364">
        <v>0.67311660793882899</v>
      </c>
      <c r="FI134" s="364">
        <v>0.44320144124032768</v>
      </c>
      <c r="FJ134" s="364">
        <v>1.0591551417802036</v>
      </c>
      <c r="FK134" s="410"/>
      <c r="FL134" s="22">
        <v>0.15180256567165551</v>
      </c>
      <c r="FM134" s="22">
        <v>0.55940540035634922</v>
      </c>
      <c r="FN134" s="22">
        <v>1.4675164599640818</v>
      </c>
      <c r="FO134" s="22">
        <v>3.7981796569547335</v>
      </c>
      <c r="FP134" s="22">
        <v>4.813068088599338</v>
      </c>
      <c r="FQ134" s="22">
        <v>4.0638994942458169</v>
      </c>
      <c r="FR134" s="22">
        <v>8.5091828390802586</v>
      </c>
      <c r="FS134" s="309">
        <v>8.9646914209488671</v>
      </c>
      <c r="FT134" s="364">
        <v>8.4369938024270663</v>
      </c>
      <c r="FU134" s="364">
        <v>5.0721979536703206</v>
      </c>
      <c r="FV134" s="364">
        <v>4.4016434064689989</v>
      </c>
      <c r="FW134" s="364">
        <v>6.1855920726401186</v>
      </c>
      <c r="FX134" s="364">
        <f>'EDE''s'!C134</f>
        <v>9.4022799983649943</v>
      </c>
      <c r="FY134" s="414"/>
      <c r="FZ134" s="414"/>
      <c r="GA134" s="414"/>
      <c r="GB134" s="414"/>
      <c r="GC134" s="414"/>
      <c r="GD134" s="414"/>
      <c r="GE134" s="414"/>
      <c r="GF134" s="414"/>
    </row>
    <row r="135" spans="1:188" ht="13.8" x14ac:dyDescent="0.3">
      <c r="A135" s="46"/>
      <c r="B135" s="264" t="s">
        <v>20</v>
      </c>
      <c r="C135" s="288">
        <v>5.4278556000539071</v>
      </c>
      <c r="D135" s="288">
        <v>7.1077157852795798</v>
      </c>
      <c r="E135" s="288">
        <v>-1.6798601852256727</v>
      </c>
      <c r="F135" s="285">
        <v>-0.2363431847830415</v>
      </c>
      <c r="G135" s="284"/>
      <c r="H135" s="288">
        <v>10.27513030520811</v>
      </c>
      <c r="I135" s="288">
        <v>-3.1674145199285304</v>
      </c>
      <c r="J135" s="285">
        <v>-0.30826027756777713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0.23102484247039984</v>
      </c>
      <c r="FG135" s="364">
        <v>0.29767567486659308</v>
      </c>
      <c r="FH135" s="364">
        <v>0.25713311791962506</v>
      </c>
      <c r="FI135" s="364">
        <v>0.27144797846909002</v>
      </c>
      <c r="FJ135" s="364">
        <v>0.27495001093058025</v>
      </c>
      <c r="FK135" s="410"/>
      <c r="FL135" s="22">
        <v>0</v>
      </c>
      <c r="FM135" s="22">
        <v>1.4788019613447778</v>
      </c>
      <c r="FN135" s="22">
        <v>2.5776646195193922</v>
      </c>
      <c r="FO135" s="22">
        <v>2.9402118449325223</v>
      </c>
      <c r="FP135" s="22">
        <v>3.2707377927121435</v>
      </c>
      <c r="FQ135" s="22">
        <v>4.3902993919973632</v>
      </c>
      <c r="FR135" s="22">
        <v>6.6698668476227292</v>
      </c>
      <c r="FS135" s="309">
        <v>10.600347332530585</v>
      </c>
      <c r="FT135" s="364">
        <v>11.755866153707981</v>
      </c>
      <c r="FU135" s="364">
        <v>13.493158490009771</v>
      </c>
      <c r="FV135" s="364">
        <v>11.97258599957328</v>
      </c>
      <c r="FW135" s="364">
        <v>7.9784200850014368</v>
      </c>
      <c r="FX135" s="364">
        <f>'EDE''s'!C135</f>
        <v>5.4278556000539071</v>
      </c>
      <c r="FY135" s="414"/>
      <c r="FZ135" s="414"/>
      <c r="GA135" s="414"/>
      <c r="GB135" s="414"/>
      <c r="GC135" s="414"/>
      <c r="GD135" s="414"/>
      <c r="GE135" s="414"/>
      <c r="GF135" s="414"/>
    </row>
    <row r="136" spans="1:188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10"/>
      <c r="FL136" s="429"/>
      <c r="FM136" s="429"/>
      <c r="FN136" s="429"/>
      <c r="FO136" s="429"/>
      <c r="FP136" s="429"/>
      <c r="FQ136" s="429"/>
      <c r="FR136" s="429"/>
      <c r="FS136" s="429"/>
      <c r="FT136" s="429"/>
      <c r="FU136" s="429"/>
      <c r="FV136" s="429"/>
      <c r="FW136" s="425"/>
      <c r="FX136" s="425"/>
      <c r="FY136" s="414"/>
      <c r="FZ136" s="414"/>
      <c r="GA136" s="414"/>
      <c r="GB136" s="414"/>
      <c r="GC136" s="414"/>
      <c r="GD136" s="414"/>
      <c r="GE136" s="414"/>
      <c r="GF136" s="414"/>
    </row>
    <row r="137" spans="1:188" ht="13.8" x14ac:dyDescent="0.3">
      <c r="A137" s="46"/>
      <c r="B137" s="42" t="s">
        <v>266</v>
      </c>
      <c r="C137" s="286">
        <v>9.2072034794709712</v>
      </c>
      <c r="D137" s="286">
        <v>45.022454657994935</v>
      </c>
      <c r="E137" s="286">
        <v>-35.815251178523965</v>
      </c>
      <c r="F137" s="289">
        <v>-0.79549752341555224</v>
      </c>
      <c r="G137" s="287"/>
      <c r="H137" s="286">
        <v>208.74843179611776</v>
      </c>
      <c r="I137" s="286">
        <v>-163.72597713812283</v>
      </c>
      <c r="J137" s="289">
        <v>-0.78432195025077911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0.68495341784392572</v>
      </c>
      <c r="FF137" s="362">
        <v>1.9807274341088281</v>
      </c>
      <c r="FG137" s="362">
        <v>0.61335713826858973</v>
      </c>
      <c r="FH137" s="362">
        <v>2.1640979929212296</v>
      </c>
      <c r="FI137" s="362">
        <v>0.31447509387093053</v>
      </c>
      <c r="FJ137" s="362">
        <v>0.36169011128854611</v>
      </c>
      <c r="FK137" s="410"/>
      <c r="FL137" s="28">
        <v>3.0310967991356259E-2</v>
      </c>
      <c r="FM137" s="28">
        <v>3.5047676183890983</v>
      </c>
      <c r="FN137" s="28">
        <v>39.808844744158691</v>
      </c>
      <c r="FO137" s="28">
        <v>60.007100170844744</v>
      </c>
      <c r="FP137" s="28">
        <v>96.629051727225459</v>
      </c>
      <c r="FQ137" s="28">
        <v>63.242235592323226</v>
      </c>
      <c r="FR137" s="28">
        <v>146.26375103544603</v>
      </c>
      <c r="FS137" s="308">
        <v>127.1031136587107</v>
      </c>
      <c r="FT137" s="362">
        <v>119.42694989064054</v>
      </c>
      <c r="FU137" s="362">
        <v>120.3907505415491</v>
      </c>
      <c r="FV137" s="362">
        <v>254.16002537343212</v>
      </c>
      <c r="FW137" s="362">
        <v>50.84617134961718</v>
      </c>
      <c r="FX137" s="362">
        <f>'EDE''s'!C137</f>
        <v>9.2072034794709712</v>
      </c>
      <c r="FY137" s="414"/>
      <c r="FZ137" s="414"/>
      <c r="GA137" s="414"/>
      <c r="GB137" s="414"/>
      <c r="GC137" s="414"/>
      <c r="GD137" s="414"/>
      <c r="GE137" s="414"/>
      <c r="GF137" s="414"/>
    </row>
    <row r="138" spans="1:188" ht="13.8" x14ac:dyDescent="0.3">
      <c r="A138" s="46"/>
      <c r="B138" s="21" t="s">
        <v>18</v>
      </c>
      <c r="C138" s="288">
        <v>6.5515821568580233</v>
      </c>
      <c r="D138" s="288">
        <v>9.3775323221857843</v>
      </c>
      <c r="E138" s="288">
        <v>-2.825950165327761</v>
      </c>
      <c r="F138" s="285">
        <v>-0.30135328445011084</v>
      </c>
      <c r="G138" s="284"/>
      <c r="H138" s="288">
        <v>55.232022531952516</v>
      </c>
      <c r="I138" s="288">
        <v>-45.85449020976673</v>
      </c>
      <c r="J138" s="285">
        <v>-0.83021566308275696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364">
        <v>0.47823164295388088</v>
      </c>
      <c r="FH138" s="364">
        <v>2.0366913860937395</v>
      </c>
      <c r="FI138" s="364">
        <v>0.17910989740309766</v>
      </c>
      <c r="FJ138" s="364">
        <v>0.16567731257786411</v>
      </c>
      <c r="FK138" s="410"/>
      <c r="FL138" s="22">
        <v>3.0310967991356259E-2</v>
      </c>
      <c r="FM138" s="22">
        <v>0</v>
      </c>
      <c r="FN138" s="22">
        <v>10.529081224306324</v>
      </c>
      <c r="FO138" s="22">
        <v>12.319964974365327</v>
      </c>
      <c r="FP138" s="22">
        <v>21.755659217454717</v>
      </c>
      <c r="FQ138" s="22">
        <v>20.952521406279079</v>
      </c>
      <c r="FR138" s="22">
        <v>52.576709861274018</v>
      </c>
      <c r="FS138" s="309">
        <v>48.404240089955351</v>
      </c>
      <c r="FT138" s="364">
        <v>48.463320462263802</v>
      </c>
      <c r="FU138" s="364">
        <v>39.713607873448318</v>
      </c>
      <c r="FV138" s="364">
        <v>71.41271787336089</v>
      </c>
      <c r="FW138" s="364">
        <v>11.397446763450052</v>
      </c>
      <c r="FX138" s="364">
        <f>'EDE''s'!C138</f>
        <v>6.5515821568580233</v>
      </c>
      <c r="FY138" s="414"/>
      <c r="FZ138" s="414"/>
      <c r="GA138" s="414"/>
      <c r="GB138" s="414"/>
      <c r="GC138" s="414"/>
      <c r="GD138" s="414"/>
      <c r="GE138" s="414"/>
      <c r="GF138" s="414"/>
    </row>
    <row r="139" spans="1:188" ht="13.8" x14ac:dyDescent="0.3">
      <c r="A139" s="46"/>
      <c r="B139" s="21" t="s">
        <v>19</v>
      </c>
      <c r="C139" s="288">
        <v>1.7679084059013661</v>
      </c>
      <c r="D139" s="288">
        <v>10.992246706417991</v>
      </c>
      <c r="E139" s="288">
        <v>-9.2243383005166244</v>
      </c>
      <c r="F139" s="285">
        <v>-0.83916769218169518</v>
      </c>
      <c r="G139" s="284"/>
      <c r="H139" s="288">
        <v>45.733406501622987</v>
      </c>
      <c r="I139" s="288">
        <v>-34.741159795204993</v>
      </c>
      <c r="J139" s="285">
        <v>-0.759645135858666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364">
        <v>2.9761464806010125E-2</v>
      </c>
      <c r="FH139" s="364">
        <v>2.6160118720652079E-2</v>
      </c>
      <c r="FI139" s="364">
        <v>3.7778775152957279E-2</v>
      </c>
      <c r="FJ139" s="364">
        <v>3.5437970424424294E-2</v>
      </c>
      <c r="FK139" s="410"/>
      <c r="FL139" s="22">
        <v>0</v>
      </c>
      <c r="FM139" s="22">
        <v>1.2566654180874597</v>
      </c>
      <c r="FN139" s="22">
        <v>9.5232537314328845</v>
      </c>
      <c r="FO139" s="22">
        <v>20.830993841650713</v>
      </c>
      <c r="FP139" s="22">
        <v>25.321253706717723</v>
      </c>
      <c r="FQ139" s="22">
        <v>21.13122541283046</v>
      </c>
      <c r="FR139" s="22">
        <v>54.314691131321126</v>
      </c>
      <c r="FS139" s="309">
        <v>44.468882596225207</v>
      </c>
      <c r="FT139" s="364">
        <v>36.01896755742176</v>
      </c>
      <c r="FU139" s="364">
        <v>35.832802021579617</v>
      </c>
      <c r="FV139" s="364">
        <v>53.941116548941231</v>
      </c>
      <c r="FW139" s="364">
        <v>12.826593407856272</v>
      </c>
      <c r="FX139" s="364">
        <f>'EDE''s'!C139</f>
        <v>1.7679084059013661</v>
      </c>
      <c r="FY139" s="414"/>
      <c r="FZ139" s="414"/>
      <c r="GA139" s="414"/>
      <c r="GB139" s="414"/>
      <c r="GC139" s="414"/>
      <c r="GD139" s="414"/>
      <c r="GE139" s="414"/>
      <c r="GF139" s="414"/>
    </row>
    <row r="140" spans="1:188" ht="13.8" x14ac:dyDescent="0.3">
      <c r="A140" s="46"/>
      <c r="B140" s="21" t="s">
        <v>20</v>
      </c>
      <c r="C140" s="288">
        <v>0.88771291671158337</v>
      </c>
      <c r="D140" s="288">
        <v>24.652675629391155</v>
      </c>
      <c r="E140" s="288">
        <v>-23.764962712679573</v>
      </c>
      <c r="F140" s="285">
        <v>-0.96399121417663725</v>
      </c>
      <c r="G140" s="284"/>
      <c r="H140" s="288">
        <v>107.78300276254224</v>
      </c>
      <c r="I140" s="288">
        <v>-83.130327133151084</v>
      </c>
      <c r="J140" s="285">
        <v>-0.77127492278440513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0.13030664211437235</v>
      </c>
      <c r="FF140" s="364">
        <v>0.11335981287069362</v>
      </c>
      <c r="FG140" s="364">
        <v>0.10536403050869872</v>
      </c>
      <c r="FH140" s="364">
        <v>0.10124648810683816</v>
      </c>
      <c r="FI140" s="364">
        <v>9.7586421314875577E-2</v>
      </c>
      <c r="FJ140" s="364">
        <v>0.16057482828625774</v>
      </c>
      <c r="FK140" s="410"/>
      <c r="FL140" s="22">
        <v>0</v>
      </c>
      <c r="FM140" s="22">
        <v>2.2481022003016387</v>
      </c>
      <c r="FN140" s="22">
        <v>19.756509788419482</v>
      </c>
      <c r="FO140" s="22">
        <v>26.856141354828701</v>
      </c>
      <c r="FP140" s="22">
        <v>49.552138803053026</v>
      </c>
      <c r="FQ140" s="22">
        <v>21.158488773213691</v>
      </c>
      <c r="FR140" s="22">
        <v>39.37235004285089</v>
      </c>
      <c r="FS140" s="309">
        <v>34.229990972530146</v>
      </c>
      <c r="FT140" s="364">
        <v>34.944661870954981</v>
      </c>
      <c r="FU140" s="364">
        <v>44.844340646521154</v>
      </c>
      <c r="FV140" s="364">
        <v>128.80619095112999</v>
      </c>
      <c r="FW140" s="364">
        <v>26.622131178310859</v>
      </c>
      <c r="FX140" s="364">
        <f>'EDE''s'!C140</f>
        <v>0.88771291671158337</v>
      </c>
      <c r="FY140" s="414"/>
      <c r="FZ140" s="414"/>
      <c r="GA140" s="414"/>
      <c r="GB140" s="414"/>
      <c r="GC140" s="414"/>
      <c r="GD140" s="414"/>
      <c r="GE140" s="414"/>
      <c r="GF140" s="414"/>
    </row>
    <row r="141" spans="1:188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10"/>
      <c r="FL141" s="429"/>
      <c r="FM141" s="429"/>
      <c r="FN141" s="429"/>
      <c r="FO141" s="429"/>
      <c r="FP141" s="429"/>
      <c r="FQ141" s="429"/>
      <c r="FR141" s="429"/>
      <c r="FS141" s="429"/>
      <c r="FT141" s="429"/>
      <c r="FU141" s="429"/>
      <c r="FV141" s="429"/>
      <c r="FW141" s="425"/>
      <c r="FX141" s="425"/>
      <c r="FY141" s="414"/>
      <c r="FZ141" s="414"/>
      <c r="GA141" s="414"/>
      <c r="GB141" s="414"/>
      <c r="GC141" s="414"/>
      <c r="GD141" s="414"/>
      <c r="GE141" s="414"/>
      <c r="GF141" s="414"/>
    </row>
    <row r="142" spans="1:188" ht="13.8" x14ac:dyDescent="0.3">
      <c r="A142" s="46"/>
      <c r="B142" s="42" t="s">
        <v>46</v>
      </c>
      <c r="C142" s="286">
        <v>100.31126805849578</v>
      </c>
      <c r="D142" s="286">
        <v>167.87602916601244</v>
      </c>
      <c r="E142" s="286">
        <v>-67.564761107516659</v>
      </c>
      <c r="F142" s="289">
        <v>-0.40246818704951576</v>
      </c>
      <c r="G142" s="287"/>
      <c r="H142" s="286">
        <v>251.54825544840469</v>
      </c>
      <c r="I142" s="286">
        <v>-83.672226282392245</v>
      </c>
      <c r="J142" s="289">
        <v>-0.33262892693586715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7.6573320335664352</v>
      </c>
      <c r="FD142" s="362">
        <v>7.2096765903939053</v>
      </c>
      <c r="FE142" s="362">
        <v>7.8292373151480072</v>
      </c>
      <c r="FF142" s="362">
        <v>8.0269266617061454</v>
      </c>
      <c r="FG142" s="362">
        <v>8.7563556647150254</v>
      </c>
      <c r="FH142" s="362">
        <v>11.493264200170547</v>
      </c>
      <c r="FI142" s="362">
        <v>12.537644343265239</v>
      </c>
      <c r="FJ142" s="362">
        <v>17.638979723038261</v>
      </c>
      <c r="FK142" s="410"/>
      <c r="FL142" s="28">
        <v>78.314105934404523</v>
      </c>
      <c r="FM142" s="28">
        <v>55.449763676382908</v>
      </c>
      <c r="FN142" s="28">
        <v>106.57551857677657</v>
      </c>
      <c r="FO142" s="28">
        <v>153.72510642554573</v>
      </c>
      <c r="FP142" s="28">
        <v>151.9786789332104</v>
      </c>
      <c r="FQ142" s="28">
        <v>182.19066714880506</v>
      </c>
      <c r="FR142" s="28">
        <v>165.97124058000233</v>
      </c>
      <c r="FS142" s="308">
        <v>170.27077486977137</v>
      </c>
      <c r="FT142" s="362">
        <v>246.84793785180818</v>
      </c>
      <c r="FU142" s="362">
        <v>230.58409116385047</v>
      </c>
      <c r="FV142" s="362">
        <v>295.51318370275123</v>
      </c>
      <c r="FW142" s="362">
        <v>176.83335459783152</v>
      </c>
      <c r="FX142" s="362">
        <f>'EDE''s'!C142</f>
        <v>100.31126805849578</v>
      </c>
      <c r="FY142" s="414"/>
      <c r="FZ142" s="414"/>
      <c r="GA142" s="414"/>
      <c r="GB142" s="414"/>
      <c r="GC142" s="414"/>
      <c r="GD142" s="414"/>
      <c r="GE142" s="414"/>
      <c r="GF142" s="414"/>
    </row>
    <row r="143" spans="1:188" ht="13.8" x14ac:dyDescent="0.3">
      <c r="A143" s="46"/>
      <c r="B143" s="21" t="s">
        <v>18</v>
      </c>
      <c r="C143" s="288">
        <v>45.101228176906979</v>
      </c>
      <c r="D143" s="288">
        <v>77.311505595193495</v>
      </c>
      <c r="E143" s="288">
        <v>-32.210277418286516</v>
      </c>
      <c r="F143" s="285">
        <v>-0.41662980393812238</v>
      </c>
      <c r="G143" s="284"/>
      <c r="H143" s="288">
        <v>96.37670894243125</v>
      </c>
      <c r="I143" s="288">
        <v>-19.065203347237755</v>
      </c>
      <c r="J143" s="285">
        <v>-0.19781961385116381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2.7620280013931735</v>
      </c>
      <c r="FD143" s="364">
        <v>3.9235111408426873</v>
      </c>
      <c r="FE143" s="364">
        <v>3.6602652683259875</v>
      </c>
      <c r="FF143" s="364">
        <v>4.9473428504957031</v>
      </c>
      <c r="FG143" s="364">
        <v>2.8619606534605597</v>
      </c>
      <c r="FH143" s="364">
        <v>5.2191784159223502</v>
      </c>
      <c r="FI143" s="364">
        <v>3.6485590404183736</v>
      </c>
      <c r="FJ143" s="364">
        <v>9.5811254765899392</v>
      </c>
      <c r="FK143" s="410"/>
      <c r="FL143" s="22">
        <v>35.471755178624335</v>
      </c>
      <c r="FM143" s="22">
        <v>18.257299855878944</v>
      </c>
      <c r="FN143" s="22">
        <v>45.355023896314414</v>
      </c>
      <c r="FO143" s="22">
        <v>52.299840809299631</v>
      </c>
      <c r="FP143" s="22">
        <v>52.838102502127406</v>
      </c>
      <c r="FQ143" s="22">
        <v>71.898848056224651</v>
      </c>
      <c r="FR143" s="22">
        <v>80.390517844038484</v>
      </c>
      <c r="FS143" s="309">
        <v>68.728146650454846</v>
      </c>
      <c r="FT143" s="364">
        <v>87.695334091170494</v>
      </c>
      <c r="FU143" s="364">
        <v>86.193419082168262</v>
      </c>
      <c r="FV143" s="364">
        <v>111.58388846245983</v>
      </c>
      <c r="FW143" s="364">
        <v>81.407846473002607</v>
      </c>
      <c r="FX143" s="364">
        <f>'EDE''s'!C143</f>
        <v>45.101228176906979</v>
      </c>
      <c r="FY143" s="414"/>
      <c r="FZ143" s="414"/>
      <c r="GA143" s="414"/>
      <c r="GB143" s="414"/>
      <c r="GC143" s="414"/>
      <c r="GD143" s="414"/>
      <c r="GE143" s="414"/>
      <c r="GF143" s="414"/>
    </row>
    <row r="144" spans="1:188" ht="13.8" x14ac:dyDescent="0.3">
      <c r="A144" s="46"/>
      <c r="B144" s="21" t="s">
        <v>19</v>
      </c>
      <c r="C144" s="288">
        <v>20.33371191113973</v>
      </c>
      <c r="D144" s="288">
        <v>47.878657587034063</v>
      </c>
      <c r="E144" s="288">
        <v>-27.544945675894333</v>
      </c>
      <c r="F144" s="285">
        <v>-0.57530739298241584</v>
      </c>
      <c r="G144" s="284"/>
      <c r="H144" s="288">
        <v>83.759980492318078</v>
      </c>
      <c r="I144" s="288">
        <v>-35.881322905284016</v>
      </c>
      <c r="J144" s="285">
        <v>-0.42838265594599578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0.37091446625350649</v>
      </c>
      <c r="FD144" s="364">
        <v>1.4438233512727392</v>
      </c>
      <c r="FE144" s="364">
        <v>0.62622445564544682</v>
      </c>
      <c r="FF144" s="364">
        <v>1.2233964962494317</v>
      </c>
      <c r="FG144" s="364">
        <v>3.1060920177441735</v>
      </c>
      <c r="FH144" s="364">
        <v>1.9056673525849059</v>
      </c>
      <c r="FI144" s="364">
        <v>3.3308566820429766</v>
      </c>
      <c r="FJ144" s="364">
        <v>4.7956233344599593</v>
      </c>
      <c r="FK144" s="410"/>
      <c r="FL144" s="22">
        <v>23.191860751134126</v>
      </c>
      <c r="FM144" s="22">
        <v>23.353265069209815</v>
      </c>
      <c r="FN144" s="22">
        <v>23.794534977231358</v>
      </c>
      <c r="FO144" s="22">
        <v>51.455817532503282</v>
      </c>
      <c r="FP144" s="22">
        <v>44.477553104709649</v>
      </c>
      <c r="FQ144" s="22">
        <v>41.653074162215844</v>
      </c>
      <c r="FR144" s="22">
        <v>21.775643278132989</v>
      </c>
      <c r="FS144" s="309">
        <v>35.982423946028788</v>
      </c>
      <c r="FT144" s="364">
        <v>79.62152187332839</v>
      </c>
      <c r="FU144" s="364">
        <v>78.884382854096899</v>
      </c>
      <c r="FV144" s="364">
        <v>97.940159995192687</v>
      </c>
      <c r="FW144" s="364">
        <v>48.742466332384573</v>
      </c>
      <c r="FX144" s="364">
        <f>'EDE''s'!C144</f>
        <v>20.33371191113973</v>
      </c>
      <c r="FY144" s="414"/>
      <c r="FZ144" s="414"/>
      <c r="GA144" s="414"/>
      <c r="GB144" s="414"/>
      <c r="GC144" s="414"/>
      <c r="GD144" s="414"/>
      <c r="GE144" s="414"/>
      <c r="GF144" s="414"/>
    </row>
    <row r="145" spans="1:188" ht="13.8" x14ac:dyDescent="0.3">
      <c r="A145" s="46"/>
      <c r="B145" s="21" t="s">
        <v>20</v>
      </c>
      <c r="C145" s="288">
        <v>34.876327970449083</v>
      </c>
      <c r="D145" s="288">
        <v>42.685865983784893</v>
      </c>
      <c r="E145" s="288">
        <v>-7.8095380133358105</v>
      </c>
      <c r="F145" s="285">
        <v>-0.18295372094131637</v>
      </c>
      <c r="G145" s="284"/>
      <c r="H145" s="288">
        <v>71.411566013655388</v>
      </c>
      <c r="I145" s="288">
        <v>-28.725700029870495</v>
      </c>
      <c r="J145" s="285">
        <v>-0.40225556773783028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4.5243895659197548</v>
      </c>
      <c r="FD145" s="364">
        <v>1.8423420982784791</v>
      </c>
      <c r="FE145" s="364">
        <v>3.5427475911765729</v>
      </c>
      <c r="FF145" s="364">
        <v>1.8561873149610113</v>
      </c>
      <c r="FG145" s="364">
        <v>2.788302993510293</v>
      </c>
      <c r="FH145" s="364">
        <v>4.3684184316632901</v>
      </c>
      <c r="FI145" s="364">
        <v>5.558228620803888</v>
      </c>
      <c r="FJ145" s="364">
        <v>3.262230911988361</v>
      </c>
      <c r="FK145" s="410"/>
      <c r="FL145" s="22">
        <v>19.650490004646063</v>
      </c>
      <c r="FM145" s="22">
        <v>13.839198751294147</v>
      </c>
      <c r="FN145" s="22">
        <v>37.425959703230802</v>
      </c>
      <c r="FO145" s="22">
        <v>49.969448083742833</v>
      </c>
      <c r="FP145" s="22">
        <v>54.663023326373356</v>
      </c>
      <c r="FQ145" s="22">
        <v>68.638744930364581</v>
      </c>
      <c r="FR145" s="22">
        <v>63.805079457830857</v>
      </c>
      <c r="FS145" s="309">
        <v>65.560204273287738</v>
      </c>
      <c r="FT145" s="364">
        <v>79.531081887309327</v>
      </c>
      <c r="FU145" s="364">
        <v>65.506289227585327</v>
      </c>
      <c r="FV145" s="364">
        <v>85.989135245098709</v>
      </c>
      <c r="FW145" s="364">
        <v>46.683041792444328</v>
      </c>
      <c r="FX145" s="364">
        <f>'EDE''s'!C145</f>
        <v>34.876327970449083</v>
      </c>
      <c r="FY145" s="414"/>
      <c r="FZ145" s="414"/>
      <c r="GA145" s="414"/>
      <c r="GB145" s="414"/>
      <c r="GC145" s="414"/>
      <c r="GD145" s="414"/>
      <c r="GE145" s="414"/>
      <c r="GF145" s="414"/>
    </row>
    <row r="146" spans="1:188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10"/>
      <c r="FL146" s="429"/>
      <c r="FM146" s="429"/>
      <c r="FN146" s="429"/>
      <c r="FO146" s="429"/>
      <c r="FP146" s="429"/>
      <c r="FQ146" s="429"/>
      <c r="FR146" s="429"/>
      <c r="FS146" s="429"/>
      <c r="FT146" s="429"/>
      <c r="FU146" s="429"/>
      <c r="FV146" s="429"/>
      <c r="FW146" s="425"/>
      <c r="FX146" s="425"/>
      <c r="FY146" s="414"/>
      <c r="FZ146" s="414"/>
      <c r="GA146" s="414"/>
      <c r="GB146" s="414"/>
      <c r="GC146" s="414"/>
      <c r="GD146" s="414"/>
      <c r="GE146" s="414"/>
      <c r="GF146" s="414"/>
    </row>
    <row r="147" spans="1:188" ht="13.8" x14ac:dyDescent="0.3">
      <c r="A147" s="46"/>
      <c r="B147" s="42" t="s">
        <v>47</v>
      </c>
      <c r="C147" s="286">
        <v>5044.6127562012407</v>
      </c>
      <c r="D147" s="286">
        <v>4748.6652003275831</v>
      </c>
      <c r="E147" s="286">
        <v>295.94755587365762</v>
      </c>
      <c r="F147" s="289">
        <v>6.2322261812275563E-2</v>
      </c>
      <c r="G147" s="287"/>
      <c r="H147" s="286">
        <v>3753.3495150032668</v>
      </c>
      <c r="I147" s="286">
        <v>995.31568532431629</v>
      </c>
      <c r="J147" s="289">
        <v>0.26518065566389171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537.9848652085609</v>
      </c>
      <c r="FG147" s="362">
        <v>509.82492328903629</v>
      </c>
      <c r="FH147" s="362">
        <v>504.72209657499775</v>
      </c>
      <c r="FI147" s="362">
        <v>448.30314924310369</v>
      </c>
      <c r="FJ147" s="362">
        <v>398.37430343931885</v>
      </c>
      <c r="FK147" s="410"/>
      <c r="FL147" s="28">
        <v>3704.9365245358399</v>
      </c>
      <c r="FM147" s="28">
        <v>3904.3990908495607</v>
      </c>
      <c r="FN147" s="28">
        <v>3658.704354200233</v>
      </c>
      <c r="FO147" s="28">
        <v>4104.1447107437243</v>
      </c>
      <c r="FP147" s="28">
        <v>3961.0422825133128</v>
      </c>
      <c r="FQ147" s="28">
        <v>3985.1569955483965</v>
      </c>
      <c r="FR147" s="28">
        <v>4071.2925626234728</v>
      </c>
      <c r="FS147" s="308">
        <v>4267.1780994823766</v>
      </c>
      <c r="FT147" s="362">
        <v>4104.2983406761523</v>
      </c>
      <c r="FU147" s="362">
        <v>4063.6398047493703</v>
      </c>
      <c r="FV147" s="362">
        <v>4090.7749072225247</v>
      </c>
      <c r="FW147" s="362">
        <v>5193.2108133244747</v>
      </c>
      <c r="FX147" s="362">
        <f>'EDE''s'!C147</f>
        <v>5044.6127562012407</v>
      </c>
      <c r="FY147" s="414"/>
      <c r="FZ147" s="414"/>
      <c r="GA147" s="414"/>
      <c r="GB147" s="414"/>
      <c r="GC147" s="414"/>
      <c r="GD147" s="414"/>
      <c r="GE147" s="414"/>
      <c r="GF147" s="414"/>
    </row>
    <row r="148" spans="1:188" ht="13.8" x14ac:dyDescent="0.3">
      <c r="A148" s="46"/>
      <c r="B148" s="21" t="s">
        <v>18</v>
      </c>
      <c r="C148" s="288">
        <v>1012.5466535244793</v>
      </c>
      <c r="D148" s="288">
        <v>962.44205003476304</v>
      </c>
      <c r="E148" s="288">
        <v>50.104603489716283</v>
      </c>
      <c r="F148" s="285">
        <v>5.2059865306078972E-2</v>
      </c>
      <c r="G148" s="284"/>
      <c r="H148" s="288">
        <v>839.03310346399689</v>
      </c>
      <c r="I148" s="288">
        <v>123.40894657076615</v>
      </c>
      <c r="J148" s="285">
        <v>0.14708471699300676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122.02130287661402</v>
      </c>
      <c r="FG148" s="364">
        <v>105.76274502604002</v>
      </c>
      <c r="FH148" s="364">
        <v>89.169314996999049</v>
      </c>
      <c r="FI148" s="364">
        <v>96.387375126801942</v>
      </c>
      <c r="FJ148" s="364">
        <v>73.250639046949061</v>
      </c>
      <c r="FK148" s="410"/>
      <c r="FL148" s="22">
        <v>995.12130596799966</v>
      </c>
      <c r="FM148" s="22">
        <v>1094.15914268444</v>
      </c>
      <c r="FN148" s="22">
        <v>1125.9716204890601</v>
      </c>
      <c r="FO148" s="22">
        <v>1361.3282689952086</v>
      </c>
      <c r="FP148" s="22">
        <v>1290.1777318929969</v>
      </c>
      <c r="FQ148" s="22">
        <v>1202.5779370703008</v>
      </c>
      <c r="FR148" s="22">
        <v>1213.9125640701939</v>
      </c>
      <c r="FS148" s="309">
        <v>1169.3011931127332</v>
      </c>
      <c r="FT148" s="364">
        <v>1038.0641804788461</v>
      </c>
      <c r="FU148" s="364">
        <v>975.30553758879523</v>
      </c>
      <c r="FV148" s="364">
        <v>908.03076784999598</v>
      </c>
      <c r="FW148" s="364">
        <v>1051.3370506304632</v>
      </c>
      <c r="FX148" s="364">
        <f>'EDE''s'!C148</f>
        <v>1012.5466535244793</v>
      </c>
      <c r="FY148" s="414"/>
      <c r="FZ148" s="414"/>
      <c r="GA148" s="414"/>
      <c r="GB148" s="414"/>
      <c r="GC148" s="414"/>
      <c r="GD148" s="414"/>
      <c r="GE148" s="414"/>
      <c r="GF148" s="414"/>
    </row>
    <row r="149" spans="1:188" ht="13.8" x14ac:dyDescent="0.3">
      <c r="A149" s="46"/>
      <c r="B149" s="21" t="s">
        <v>19</v>
      </c>
      <c r="C149" s="288">
        <v>1411.713323152426</v>
      </c>
      <c r="D149" s="288">
        <v>1271.1320056635593</v>
      </c>
      <c r="E149" s="288">
        <v>140.58131748886672</v>
      </c>
      <c r="F149" s="285">
        <v>0.11059537236298296</v>
      </c>
      <c r="G149" s="284"/>
      <c r="H149" s="288">
        <v>1081.4317795019301</v>
      </c>
      <c r="I149" s="288">
        <v>189.70022616162919</v>
      </c>
      <c r="J149" s="285">
        <v>0.17541580500713463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154.76913050157293</v>
      </c>
      <c r="FG149" s="364">
        <v>139.47264227760024</v>
      </c>
      <c r="FH149" s="364">
        <v>150.63614811999969</v>
      </c>
      <c r="FI149" s="364">
        <v>125.5319855988007</v>
      </c>
      <c r="FJ149" s="364">
        <v>118.42807298587377</v>
      </c>
      <c r="FK149" s="410"/>
      <c r="FL149" s="22">
        <v>1326.3475315380001</v>
      </c>
      <c r="FM149" s="22">
        <v>1385.1036174210763</v>
      </c>
      <c r="FN149" s="22">
        <v>1255.0227888210165</v>
      </c>
      <c r="FO149" s="22">
        <v>1286.8243888304955</v>
      </c>
      <c r="FP149" s="22">
        <v>1262.6800945348866</v>
      </c>
      <c r="FQ149" s="22">
        <v>1296.6224326790709</v>
      </c>
      <c r="FR149" s="22">
        <v>1317.3238156373727</v>
      </c>
      <c r="FS149" s="309">
        <v>1424.3392525727365</v>
      </c>
      <c r="FT149" s="364">
        <v>1327.8190653882366</v>
      </c>
      <c r="FU149" s="364">
        <v>1206.0430613128267</v>
      </c>
      <c r="FV149" s="364">
        <v>1166.6827680179304</v>
      </c>
      <c r="FW149" s="364">
        <v>1392.510539244292</v>
      </c>
      <c r="FX149" s="364">
        <f>'EDE''s'!C149</f>
        <v>1411.713323152426</v>
      </c>
      <c r="FY149" s="414"/>
      <c r="FZ149" s="414"/>
      <c r="GA149" s="414"/>
      <c r="GB149" s="414"/>
      <c r="GC149" s="414"/>
      <c r="GD149" s="414"/>
      <c r="GE149" s="414"/>
      <c r="GF149" s="414"/>
    </row>
    <row r="150" spans="1:188" ht="13.8" x14ac:dyDescent="0.3">
      <c r="A150" s="46"/>
      <c r="B150" s="21" t="s">
        <v>20</v>
      </c>
      <c r="C150" s="288">
        <v>2620.3527795243353</v>
      </c>
      <c r="D150" s="288">
        <v>2515.0911446292598</v>
      </c>
      <c r="E150" s="288">
        <v>105.26163489507553</v>
      </c>
      <c r="F150" s="285">
        <v>4.1852016027272745E-2</v>
      </c>
      <c r="G150" s="284"/>
      <c r="H150" s="288">
        <v>1832.8846320373395</v>
      </c>
      <c r="I150" s="288">
        <v>682.20651259192027</v>
      </c>
      <c r="J150" s="285">
        <v>0.37220373866827333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364">
        <v>264.58953598539603</v>
      </c>
      <c r="FH150" s="364">
        <v>264.91663345799901</v>
      </c>
      <c r="FI150" s="364">
        <v>226.38378851750105</v>
      </c>
      <c r="FJ150" s="364">
        <v>206.69559140649602</v>
      </c>
      <c r="FK150" s="410"/>
      <c r="FL150" s="22">
        <v>1383.4676870298404</v>
      </c>
      <c r="FM150" s="22">
        <v>1425.136330744044</v>
      </c>
      <c r="FN150" s="22">
        <v>1277.7099448901565</v>
      </c>
      <c r="FO150" s="22">
        <v>1455.9920529180199</v>
      </c>
      <c r="FP150" s="22">
        <v>1408.1844560854295</v>
      </c>
      <c r="FQ150" s="22">
        <v>1485.9566257990246</v>
      </c>
      <c r="FR150" s="22">
        <v>1540.0561829159062</v>
      </c>
      <c r="FS150" s="309">
        <v>1673.5376537969066</v>
      </c>
      <c r="FT150" s="364">
        <v>1738.4150948090701</v>
      </c>
      <c r="FU150" s="364">
        <v>1882.2912058477484</v>
      </c>
      <c r="FV150" s="364">
        <v>2016.0613713545986</v>
      </c>
      <c r="FW150" s="364">
        <v>2749.3632234497195</v>
      </c>
      <c r="FX150" s="364">
        <f>'EDE''s'!C150</f>
        <v>2620.3527795243353</v>
      </c>
      <c r="FY150" s="414"/>
      <c r="FZ150" s="414"/>
      <c r="GA150" s="414"/>
      <c r="GB150" s="414"/>
      <c r="GC150" s="414"/>
      <c r="GD150" s="414"/>
      <c r="GE150" s="414"/>
      <c r="GF150" s="414"/>
    </row>
    <row r="151" spans="1:188" ht="14.4" x14ac:dyDescent="0.3">
      <c r="A151" s="46"/>
      <c r="B151" s="24"/>
      <c r="C151" s="281"/>
      <c r="D151" s="281"/>
      <c r="E151" s="293" t="s">
        <v>360</v>
      </c>
      <c r="F151" s="281"/>
      <c r="G151" s="281"/>
      <c r="H151" s="281"/>
      <c r="I151" s="293" t="s">
        <v>360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10"/>
      <c r="FL151" s="429"/>
      <c r="FM151" s="429"/>
      <c r="FN151" s="429"/>
      <c r="FO151" s="429"/>
      <c r="FP151" s="429"/>
      <c r="FQ151" s="429"/>
      <c r="FR151" s="429"/>
      <c r="FS151" s="429"/>
      <c r="FT151" s="429"/>
      <c r="FU151" s="429"/>
      <c r="FV151" s="429"/>
      <c r="FW151" s="425"/>
      <c r="FX151" s="425"/>
      <c r="FY151" s="414"/>
      <c r="FZ151" s="414"/>
      <c r="GA151" s="414"/>
      <c r="GB151" s="414"/>
      <c r="GC151" s="414"/>
      <c r="GD151" s="414"/>
      <c r="GE151" s="414"/>
      <c r="GF151" s="414"/>
    </row>
    <row r="152" spans="1:188" ht="13.8" x14ac:dyDescent="0.3">
      <c r="A152" s="46"/>
      <c r="B152" s="42" t="s">
        <v>48</v>
      </c>
      <c r="C152" s="289">
        <v>0.33082040902323839</v>
      </c>
      <c r="D152" s="289">
        <v>0.32989827132171384</v>
      </c>
      <c r="E152" s="286">
        <v>9.2213770152455021E-2</v>
      </c>
      <c r="F152" s="289">
        <v>2.7952183496751026E-3</v>
      </c>
      <c r="G152" s="287"/>
      <c r="H152" s="289">
        <v>0.26969696542382965</v>
      </c>
      <c r="I152" s="286">
        <v>6.020130589788419</v>
      </c>
      <c r="J152" s="289">
        <v>0.22321832877606776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0.35853759361735843</v>
      </c>
      <c r="FG152" s="365">
        <v>0.34066632129489044</v>
      </c>
      <c r="FH152" s="365">
        <v>0.33033933138672322</v>
      </c>
      <c r="FI152" s="365">
        <v>0.30073715497392223</v>
      </c>
      <c r="FJ152" s="365">
        <v>0.27978923065065425</v>
      </c>
      <c r="FK152" s="410"/>
      <c r="FL152" s="29">
        <v>0.36231376917543573</v>
      </c>
      <c r="FM152" s="29">
        <v>0.35200949085965294</v>
      </c>
      <c r="FN152" s="29">
        <v>0.32893904038945321</v>
      </c>
      <c r="FO152" s="29">
        <v>0.35539454554703331</v>
      </c>
      <c r="FP152" s="29">
        <v>0.33146845535632946</v>
      </c>
      <c r="FQ152" s="29">
        <v>0.32065974711543943</v>
      </c>
      <c r="FR152" s="29">
        <v>0.31131568111979374</v>
      </c>
      <c r="FS152" s="310">
        <v>0.31502243680681674</v>
      </c>
      <c r="FT152" s="365">
        <v>0.29852661237441402</v>
      </c>
      <c r="FU152" s="365">
        <v>0.28410110916352821</v>
      </c>
      <c r="FV152" s="365">
        <v>0.27001519350327891</v>
      </c>
      <c r="FW152" s="365">
        <v>0.33125524243804999</v>
      </c>
      <c r="FX152" s="365">
        <f>'EDE''s'!C152</f>
        <v>0.33082040902323839</v>
      </c>
      <c r="FY152" s="414"/>
      <c r="FZ152" s="414"/>
      <c r="GA152" s="414"/>
      <c r="GB152" s="414"/>
      <c r="GC152" s="414"/>
      <c r="GD152" s="414"/>
      <c r="GE152" s="414"/>
      <c r="GF152" s="414"/>
    </row>
    <row r="153" spans="1:188" ht="13.8" x14ac:dyDescent="0.3">
      <c r="A153" s="46"/>
      <c r="B153" s="21" t="s">
        <v>18</v>
      </c>
      <c r="C153" s="285">
        <v>0.22088483890030336</v>
      </c>
      <c r="D153" s="285">
        <v>0.2256651276784139</v>
      </c>
      <c r="E153" s="288">
        <v>-0.47802887781105419</v>
      </c>
      <c r="F153" s="285">
        <v>-2.118310802953452E-2</v>
      </c>
      <c r="G153" s="284"/>
      <c r="H153" s="285">
        <v>0.20594432922390082</v>
      </c>
      <c r="I153" s="288">
        <v>1.9720798454513078</v>
      </c>
      <c r="J153" s="285">
        <v>9.5757909571148242E-2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0.26665023858290621</v>
      </c>
      <c r="FG153" s="361">
        <v>0.22790417795181017</v>
      </c>
      <c r="FH153" s="361">
        <v>0.1945612081227629</v>
      </c>
      <c r="FI153" s="361">
        <v>0.21544028209700189</v>
      </c>
      <c r="FJ153" s="361">
        <v>0.17273238365914462</v>
      </c>
      <c r="FK153" s="410"/>
      <c r="FL153" s="23">
        <v>0.31067445107532543</v>
      </c>
      <c r="FM153" s="23">
        <v>0.32293616247846629</v>
      </c>
      <c r="FN153" s="23">
        <v>0.32931916606402423</v>
      </c>
      <c r="FO153" s="23">
        <v>0.38425018858580684</v>
      </c>
      <c r="FP153" s="23">
        <v>0.34939587616332957</v>
      </c>
      <c r="FQ153" s="23">
        <v>0.31736406308885218</v>
      </c>
      <c r="FR153" s="23">
        <v>0.30621458995435374</v>
      </c>
      <c r="FS153" s="307">
        <v>0.28730096470608324</v>
      </c>
      <c r="FT153" s="361">
        <v>0.25478860057448321</v>
      </c>
      <c r="FU153" s="361">
        <v>0.2305194672179581</v>
      </c>
      <c r="FV153" s="361">
        <v>0.20485148263954045</v>
      </c>
      <c r="FW153" s="361">
        <v>0.22655603982278144</v>
      </c>
      <c r="FX153" s="361">
        <f>'EDE''s'!C153</f>
        <v>0.22088483890030336</v>
      </c>
      <c r="FY153" s="414"/>
      <c r="FZ153" s="414"/>
      <c r="GA153" s="414"/>
      <c r="GB153" s="414"/>
      <c r="GC153" s="414"/>
      <c r="GD153" s="414"/>
      <c r="GE153" s="414"/>
      <c r="GF153" s="414"/>
    </row>
    <row r="154" spans="1:188" ht="13.8" x14ac:dyDescent="0.3">
      <c r="A154" s="46"/>
      <c r="B154" s="21" t="s">
        <v>19</v>
      </c>
      <c r="C154" s="285">
        <v>0.26446249140637368</v>
      </c>
      <c r="D154" s="285">
        <v>0.24942255124665533</v>
      </c>
      <c r="E154" s="288">
        <v>1.503994015971835</v>
      </c>
      <c r="F154" s="285">
        <v>6.029903905860249E-2</v>
      </c>
      <c r="G154" s="284"/>
      <c r="H154" s="285">
        <v>0.21604157049574804</v>
      </c>
      <c r="I154" s="288">
        <v>3.3380980750907288</v>
      </c>
      <c r="J154" s="285">
        <v>0.15451184081984012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0.29698999847624252</v>
      </c>
      <c r="FG154" s="361">
        <v>0.26765766754097048</v>
      </c>
      <c r="FH154" s="361">
        <v>0.28025170380727005</v>
      </c>
      <c r="FI154" s="361">
        <v>0.24041509627880522</v>
      </c>
      <c r="FJ154" s="361">
        <v>0.23519018570555439</v>
      </c>
      <c r="FK154" s="410"/>
      <c r="FL154" s="23">
        <v>0.33992123971521049</v>
      </c>
      <c r="FM154" s="23">
        <v>0.33541784163723093</v>
      </c>
      <c r="FN154" s="23">
        <v>0.30199215897662857</v>
      </c>
      <c r="FO154" s="23">
        <v>0.30174412529524275</v>
      </c>
      <c r="FP154" s="23">
        <v>0.28827922927269584</v>
      </c>
      <c r="FQ154" s="23">
        <v>0.28721125026105082</v>
      </c>
      <c r="FR154" s="23">
        <v>0.28080802058985604</v>
      </c>
      <c r="FS154" s="307">
        <v>0.28630737654276195</v>
      </c>
      <c r="FT154" s="361">
        <v>0.26521860817666781</v>
      </c>
      <c r="FU154" s="361">
        <v>0.23866796706001142</v>
      </c>
      <c r="FV154" s="361">
        <v>0.21381966438191574</v>
      </c>
      <c r="FW154" s="361">
        <v>0.25096995665478189</v>
      </c>
      <c r="FX154" s="361">
        <f>'EDE''s'!C154</f>
        <v>0.26446249140637368</v>
      </c>
      <c r="FY154" s="414"/>
      <c r="FZ154" s="414"/>
      <c r="GA154" s="414"/>
      <c r="GB154" s="414"/>
      <c r="GC154" s="414"/>
      <c r="GD154" s="414"/>
      <c r="GE154" s="414"/>
      <c r="GF154" s="414"/>
    </row>
    <row r="155" spans="1:188" ht="13.8" x14ac:dyDescent="0.3">
      <c r="A155" s="46"/>
      <c r="B155" s="21" t="s">
        <v>20</v>
      </c>
      <c r="C155" s="285">
        <v>0.49192795651689047</v>
      </c>
      <c r="D155" s="285">
        <v>0.49970817962973058</v>
      </c>
      <c r="E155" s="288">
        <v>-0.77802231128401012</v>
      </c>
      <c r="F155" s="285">
        <v>-1.5569533239590001E-2</v>
      </c>
      <c r="G155" s="284"/>
      <c r="H155" s="285">
        <v>0.37891659710094439</v>
      </c>
      <c r="I155" s="288">
        <v>12.079158252878619</v>
      </c>
      <c r="J155" s="285">
        <v>0.31878145072807934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361">
        <v>0.51738322252879798</v>
      </c>
      <c r="FH155" s="361">
        <v>0.49789161604984145</v>
      </c>
      <c r="FI155" s="361">
        <v>0.43440366528315744</v>
      </c>
      <c r="FJ155" s="361">
        <v>0.41653575240812946</v>
      </c>
      <c r="FK155" s="410"/>
      <c r="FL155" s="23">
        <v>0.44331370065197423</v>
      </c>
      <c r="FM155" s="23">
        <v>0.3987401866150857</v>
      </c>
      <c r="FN155" s="23">
        <v>0.3601373100761967</v>
      </c>
      <c r="FO155" s="23">
        <v>0.38923006199599075</v>
      </c>
      <c r="FP155" s="23">
        <v>0.36318428149135557</v>
      </c>
      <c r="FQ155" s="23">
        <v>0.36030195505933749</v>
      </c>
      <c r="FR155" s="23">
        <v>0.34825143168143308</v>
      </c>
      <c r="FS155" s="307">
        <v>0.37182953097217875</v>
      </c>
      <c r="FT155" s="361">
        <v>0.37242771187337331</v>
      </c>
      <c r="FU155" s="361">
        <v>0.37500547749874868</v>
      </c>
      <c r="FV155" s="361">
        <v>0.38319790477359489</v>
      </c>
      <c r="FW155" s="361">
        <v>0.50094640988917816</v>
      </c>
      <c r="FX155" s="361">
        <f>'EDE''s'!C155</f>
        <v>0.49192795651689047</v>
      </c>
      <c r="FY155" s="414"/>
      <c r="FZ155" s="414"/>
      <c r="GA155" s="414"/>
      <c r="GB155" s="414"/>
      <c r="GC155" s="414"/>
      <c r="GD155" s="414"/>
      <c r="GE155" s="414"/>
      <c r="GF155" s="414"/>
    </row>
    <row r="156" spans="1:188" ht="14.4" x14ac:dyDescent="0.3">
      <c r="A156" s="46"/>
      <c r="B156" s="24"/>
      <c r="C156" s="281"/>
      <c r="D156" s="281"/>
      <c r="E156" s="293" t="s">
        <v>360</v>
      </c>
      <c r="F156" s="281"/>
      <c r="G156" s="281"/>
      <c r="H156" s="281"/>
      <c r="I156" s="293" t="s">
        <v>360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10"/>
      <c r="FL156" s="429"/>
      <c r="FM156" s="429"/>
      <c r="FN156" s="429"/>
      <c r="FO156" s="429"/>
      <c r="FP156" s="429"/>
      <c r="FQ156" s="429"/>
      <c r="FR156" s="429"/>
      <c r="FS156" s="429"/>
      <c r="FT156" s="429"/>
      <c r="FU156" s="429"/>
      <c r="FV156" s="429"/>
      <c r="FW156" s="425"/>
      <c r="FX156" s="425"/>
      <c r="FY156" s="414"/>
      <c r="FZ156" s="414"/>
      <c r="GA156" s="414"/>
      <c r="GB156" s="414"/>
      <c r="GC156" s="414"/>
      <c r="GD156" s="414"/>
      <c r="GE156" s="414"/>
      <c r="GF156" s="414"/>
    </row>
    <row r="157" spans="1:188" ht="13.8" x14ac:dyDescent="0.3">
      <c r="A157" s="46"/>
      <c r="B157" s="42" t="s">
        <v>49</v>
      </c>
      <c r="C157" s="289">
        <v>0.33203567657039829</v>
      </c>
      <c r="D157" s="289">
        <v>0.32545598869768511</v>
      </c>
      <c r="E157" s="286">
        <v>0.65796878727131802</v>
      </c>
      <c r="F157" s="289">
        <v>2.0216828392194769E-2</v>
      </c>
      <c r="G157" s="283"/>
      <c r="H157" s="289">
        <v>0.27218291180048532</v>
      </c>
      <c r="I157" s="286">
        <v>5.3273076897199791</v>
      </c>
      <c r="J157" s="289">
        <v>0.19572528100606792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0.33734582724137235</v>
      </c>
      <c r="FG157" s="365">
        <v>0.33792419170199484</v>
      </c>
      <c r="FH157" s="365">
        <v>0.33730254286616268</v>
      </c>
      <c r="FI157" s="365">
        <v>0.33249093425296183</v>
      </c>
      <c r="FJ157" s="365">
        <v>0.33203567657039829</v>
      </c>
      <c r="FK157" s="410"/>
      <c r="FL157" s="29"/>
      <c r="FM157" s="29"/>
      <c r="FN157" s="29"/>
      <c r="FO157" s="29"/>
      <c r="FP157" s="29"/>
      <c r="FQ157" s="29"/>
      <c r="FR157" s="29"/>
      <c r="FS157" s="310"/>
      <c r="FT157" s="365"/>
      <c r="FU157" s="365"/>
      <c r="FV157" s="365"/>
      <c r="FW157" s="365"/>
      <c r="FX157" s="365"/>
      <c r="FY157" s="414"/>
      <c r="FZ157" s="414"/>
      <c r="GA157" s="414"/>
      <c r="GB157" s="414"/>
      <c r="GC157" s="414"/>
      <c r="GD157" s="414"/>
      <c r="GE157" s="414"/>
      <c r="GF157" s="414"/>
    </row>
    <row r="158" spans="1:188" ht="13.8" x14ac:dyDescent="0.3">
      <c r="A158" s="46"/>
      <c r="B158" s="21" t="s">
        <v>18</v>
      </c>
      <c r="C158" s="285">
        <v>0.22208044458800413</v>
      </c>
      <c r="D158" s="285">
        <v>0.22308802910199615</v>
      </c>
      <c r="E158" s="288">
        <v>-0.10075845139920214</v>
      </c>
      <c r="F158" s="285">
        <v>-4.5165333077166253E-3</v>
      </c>
      <c r="G158" s="283"/>
      <c r="H158" s="285">
        <v>0.20655980190132792</v>
      </c>
      <c r="I158" s="288">
        <v>1.652822720066824</v>
      </c>
      <c r="J158" s="285">
        <v>8.0016668531487325E-2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361">
        <v>0.22423450396312528</v>
      </c>
      <c r="FH158" s="361">
        <v>0.2235075250221609</v>
      </c>
      <c r="FI158" s="361">
        <v>0.22043216636602561</v>
      </c>
      <c r="FJ158" s="361">
        <v>0.22208044458800413</v>
      </c>
      <c r="FK158" s="410"/>
      <c r="FL158" s="23"/>
      <c r="FM158" s="23"/>
      <c r="FN158" s="23"/>
      <c r="FO158" s="23"/>
      <c r="FP158" s="23"/>
      <c r="FQ158" s="23"/>
      <c r="FR158" s="23"/>
      <c r="FS158" s="307"/>
      <c r="FT158" s="361"/>
      <c r="FU158" s="361"/>
      <c r="FV158" s="361"/>
      <c r="FW158" s="361"/>
      <c r="FX158" s="361"/>
      <c r="FY158" s="414"/>
      <c r="FZ158" s="414"/>
      <c r="GA158" s="414"/>
      <c r="GB158" s="414"/>
      <c r="GC158" s="414"/>
      <c r="GD158" s="414"/>
      <c r="GE158" s="414"/>
      <c r="GF158" s="414"/>
    </row>
    <row r="159" spans="1:188" ht="13.8" x14ac:dyDescent="0.3">
      <c r="A159" s="46"/>
      <c r="B159" s="21" t="s">
        <v>19</v>
      </c>
      <c r="C159" s="285">
        <v>0.26477068269907778</v>
      </c>
      <c r="D159" s="285">
        <v>0.24452458831738666</v>
      </c>
      <c r="E159" s="288">
        <v>2.0246094381691115</v>
      </c>
      <c r="F159" s="285">
        <v>8.2797785372046934E-2</v>
      </c>
      <c r="G159" s="283"/>
      <c r="H159" s="285">
        <v>0.21515923441686463</v>
      </c>
      <c r="I159" s="288">
        <v>2.9365353900522031</v>
      </c>
      <c r="J159" s="285">
        <v>0.13648195942000579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361">
        <v>0.26226955905031052</v>
      </c>
      <c r="FH159" s="361">
        <v>0.26441780006761989</v>
      </c>
      <c r="FI159" s="361">
        <v>0.26149083491784486</v>
      </c>
      <c r="FJ159" s="361">
        <v>0.26477068269907778</v>
      </c>
      <c r="FK159" s="410"/>
      <c r="FL159" s="23"/>
      <c r="FM159" s="23"/>
      <c r="FN159" s="23"/>
      <c r="FO159" s="23"/>
      <c r="FP159" s="23"/>
      <c r="FQ159" s="23"/>
      <c r="FR159" s="23"/>
      <c r="FS159" s="307"/>
      <c r="FT159" s="361"/>
      <c r="FU159" s="361"/>
      <c r="FV159" s="361"/>
      <c r="FW159" s="361"/>
      <c r="FX159" s="361"/>
      <c r="FY159" s="414"/>
      <c r="FZ159" s="414"/>
      <c r="GA159" s="414"/>
      <c r="GB159" s="414"/>
      <c r="GC159" s="414"/>
      <c r="GD159" s="414"/>
      <c r="GE159" s="414"/>
      <c r="GF159" s="414"/>
    </row>
    <row r="160" spans="1:188" ht="13.8" x14ac:dyDescent="0.3">
      <c r="A160" s="46"/>
      <c r="B160" s="21" t="s">
        <v>20</v>
      </c>
      <c r="C160" s="285">
        <v>0.49371586226955122</v>
      </c>
      <c r="D160" s="285">
        <v>0.4944511131562902</v>
      </c>
      <c r="E160" s="288">
        <v>-7.3525088673898065E-2</v>
      </c>
      <c r="F160" s="285">
        <v>-1.4870042096691094E-3</v>
      </c>
      <c r="G160" s="283"/>
      <c r="H160" s="285">
        <v>0.38583241463476309</v>
      </c>
      <c r="I160" s="288">
        <v>10.861869852152712</v>
      </c>
      <c r="J160" s="285">
        <v>0.28151781551155525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361">
        <v>0.51086163604444179</v>
      </c>
      <c r="FH160" s="361">
        <v>0.5077613176129534</v>
      </c>
      <c r="FI160" s="361">
        <v>0.49970946794463955</v>
      </c>
      <c r="FJ160" s="361">
        <v>0.49371586226955122</v>
      </c>
      <c r="FK160" s="410"/>
      <c r="FL160" s="23"/>
      <c r="FM160" s="23"/>
      <c r="FN160" s="23"/>
      <c r="FO160" s="23"/>
      <c r="FP160" s="23"/>
      <c r="FQ160" s="23"/>
      <c r="FR160" s="23"/>
      <c r="FS160" s="307"/>
      <c r="FT160" s="361"/>
      <c r="FU160" s="361"/>
      <c r="FV160" s="361"/>
      <c r="FW160" s="361"/>
      <c r="FX160" s="361"/>
      <c r="FY160" s="414"/>
      <c r="FZ160" s="414"/>
      <c r="GA160" s="414"/>
      <c r="GB160" s="414"/>
      <c r="GC160" s="414"/>
      <c r="GD160" s="414"/>
      <c r="GE160" s="414"/>
      <c r="GF160" s="414"/>
    </row>
    <row r="161" spans="1:188" ht="14.4" x14ac:dyDescent="0.3">
      <c r="A161" s="46"/>
      <c r="B161" s="24"/>
      <c r="C161" s="281"/>
      <c r="D161" s="281"/>
      <c r="E161" s="293" t="s">
        <v>360</v>
      </c>
      <c r="F161" s="281"/>
      <c r="G161" s="281"/>
      <c r="H161" s="281"/>
      <c r="I161" s="293" t="s">
        <v>360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10"/>
      <c r="FL161" s="429"/>
      <c r="FM161" s="429"/>
      <c r="FN161" s="429"/>
      <c r="FO161" s="429"/>
      <c r="FP161" s="429"/>
      <c r="FQ161" s="429"/>
      <c r="FR161" s="429"/>
      <c r="FS161" s="429"/>
      <c r="FT161" s="429"/>
      <c r="FU161" s="429"/>
      <c r="FV161" s="429"/>
      <c r="FW161" s="425"/>
      <c r="FX161" s="425"/>
      <c r="FY161" s="414"/>
      <c r="FZ161" s="414"/>
      <c r="GA161" s="414"/>
      <c r="GB161" s="414"/>
      <c r="GC161" s="414"/>
      <c r="GD161" s="414"/>
      <c r="GE161" s="414"/>
      <c r="GF161" s="414"/>
    </row>
    <row r="162" spans="1:188" ht="14.4" x14ac:dyDescent="0.3">
      <c r="A162" s="46"/>
      <c r="B162" s="42" t="s">
        <v>50</v>
      </c>
      <c r="C162" s="289">
        <v>0.9476712058942387</v>
      </c>
      <c r="D162" s="289">
        <v>0.9341035000186988</v>
      </c>
      <c r="E162" s="286">
        <v>1.3567705875539904</v>
      </c>
      <c r="F162" s="289">
        <v>1.4524842135018557E-2</v>
      </c>
      <c r="G162" s="281"/>
      <c r="H162" s="289">
        <v>0.96169622251665632</v>
      </c>
      <c r="I162" s="286">
        <v>-2.7592722497957523</v>
      </c>
      <c r="J162" s="289">
        <v>-2.8691723906069128E-2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365">
        <v>0.95078928211389679</v>
      </c>
      <c r="FH162" s="365">
        <v>0.92794678078817217</v>
      </c>
      <c r="FI162" s="365">
        <v>0.9526510738729832</v>
      </c>
      <c r="FJ162" s="365">
        <v>0.94534617007071287</v>
      </c>
      <c r="FK162" s="410"/>
      <c r="FL162" s="29">
        <v>0.9163404136327078</v>
      </c>
      <c r="FM162" s="29">
        <v>0.90607710589609902</v>
      </c>
      <c r="FN162" s="29">
        <v>0.89274094798695602</v>
      </c>
      <c r="FO162" s="29">
        <v>0.95009581564524936</v>
      </c>
      <c r="FP162" s="29">
        <v>0.95434820710592538</v>
      </c>
      <c r="FQ162" s="29">
        <v>0.95661530188594024</v>
      </c>
      <c r="FR162" s="29">
        <v>0.96434168686314425</v>
      </c>
      <c r="FS162" s="310">
        <v>0.96433645400853185</v>
      </c>
      <c r="FT162" s="365">
        <v>0.96127172631961255</v>
      </c>
      <c r="FU162" s="365">
        <v>0.95669713098542974</v>
      </c>
      <c r="FV162" s="365">
        <v>0.96478469358714314</v>
      </c>
      <c r="FW162" s="365">
        <v>0.94421449532803281</v>
      </c>
      <c r="FX162" s="365">
        <f>'EDE''s'!C162</f>
        <v>0.9476712058942387</v>
      </c>
      <c r="FY162" s="414"/>
      <c r="FZ162" s="414"/>
      <c r="GA162" s="414"/>
      <c r="GB162" s="414"/>
      <c r="GC162" s="414"/>
      <c r="GD162" s="414"/>
      <c r="GE162" s="414"/>
      <c r="GF162" s="414"/>
    </row>
    <row r="163" spans="1:188" ht="14.4" x14ac:dyDescent="0.3">
      <c r="A163" s="46"/>
      <c r="B163" s="21" t="s">
        <v>18</v>
      </c>
      <c r="C163" s="285">
        <v>0.95353888280518873</v>
      </c>
      <c r="D163" s="285">
        <v>0.95298178177123949</v>
      </c>
      <c r="E163" s="288">
        <v>5.571010339492366E-2</v>
      </c>
      <c r="F163" s="285">
        <v>5.8458728656259572E-4</v>
      </c>
      <c r="G163" s="281"/>
      <c r="H163" s="285">
        <v>0.96589627045099546</v>
      </c>
      <c r="I163" s="288">
        <v>-1.2914488679755975</v>
      </c>
      <c r="J163" s="285">
        <v>-1.3370471628103453E-2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361">
        <v>0.93431176218718959</v>
      </c>
      <c r="FH163" s="361">
        <v>0.9124564034314111</v>
      </c>
      <c r="FI163" s="361">
        <v>1.0456644636750272</v>
      </c>
      <c r="FJ163" s="361">
        <v>0.95219095357472572</v>
      </c>
      <c r="FK163" s="410"/>
      <c r="FL163" s="23">
        <v>0.89480215260475715</v>
      </c>
      <c r="FM163" s="23">
        <v>0.89243020528434447</v>
      </c>
      <c r="FN163" s="23">
        <v>0.86897357606764958</v>
      </c>
      <c r="FO163" s="23">
        <v>0.95456880635265717</v>
      </c>
      <c r="FP163" s="23">
        <v>0.96244641920776042</v>
      </c>
      <c r="FQ163" s="23">
        <v>0.96278084667060426</v>
      </c>
      <c r="FR163" s="23">
        <v>0.9816438395194832</v>
      </c>
      <c r="FS163" s="307">
        <v>0.99004431329701637</v>
      </c>
      <c r="FT163" s="361">
        <v>0.98082049032005725</v>
      </c>
      <c r="FU163" s="361">
        <v>0.97219579823409963</v>
      </c>
      <c r="FV163" s="361">
        <v>0.97357942196329506</v>
      </c>
      <c r="FW163" s="361">
        <v>0.9654005826620311</v>
      </c>
      <c r="FX163" s="361">
        <f>'EDE''s'!C163</f>
        <v>0.95353888280518873</v>
      </c>
      <c r="FY163" s="414"/>
      <c r="FZ163" s="414"/>
      <c r="GA163" s="414"/>
      <c r="GB163" s="414"/>
      <c r="GC163" s="414"/>
      <c r="GD163" s="414"/>
      <c r="GE163" s="414"/>
      <c r="GF163" s="414"/>
    </row>
    <row r="164" spans="1:188" ht="14.4" x14ac:dyDescent="0.3">
      <c r="A164" s="46"/>
      <c r="B164" s="21" t="s">
        <v>19</v>
      </c>
      <c r="C164" s="285">
        <v>0.96494443036563238</v>
      </c>
      <c r="D164" s="285">
        <v>0.92980781635871113</v>
      </c>
      <c r="E164" s="288">
        <v>3.5136614006921252</v>
      </c>
      <c r="F164" s="285">
        <v>3.7789114469398991E-2</v>
      </c>
      <c r="G164" s="281"/>
      <c r="H164" s="285">
        <v>0.94821066200893034</v>
      </c>
      <c r="I164" s="288">
        <v>-1.8402845650219213</v>
      </c>
      <c r="J164" s="285">
        <v>-1.9407971653925458E-2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361">
        <v>0.97998674944510711</v>
      </c>
      <c r="FH164" s="361">
        <v>0.95831941008523713</v>
      </c>
      <c r="FI164" s="361">
        <v>0.96638079654887299</v>
      </c>
      <c r="FJ164" s="361">
        <v>1.0017479960057367</v>
      </c>
      <c r="FK164" s="410"/>
      <c r="FL164" s="23">
        <v>0.91354026768144647</v>
      </c>
      <c r="FM164" s="23">
        <v>0.91128661272637945</v>
      </c>
      <c r="FN164" s="23">
        <v>0.9126330910341387</v>
      </c>
      <c r="FO164" s="23">
        <v>0.9552368477212998</v>
      </c>
      <c r="FP164" s="23">
        <v>0.95402031286817857</v>
      </c>
      <c r="FQ164" s="23">
        <v>0.9652573598484705</v>
      </c>
      <c r="FR164" s="23">
        <v>0.96082858005709126</v>
      </c>
      <c r="FS164" s="307">
        <v>0.95907646947091885</v>
      </c>
      <c r="FT164" s="361">
        <v>0.95987905476615187</v>
      </c>
      <c r="FU164" s="361">
        <v>0.95809447105704926</v>
      </c>
      <c r="FV164" s="361">
        <v>0.94898894679149293</v>
      </c>
      <c r="FW164" s="361">
        <v>0.93908809282707539</v>
      </c>
      <c r="FX164" s="361">
        <f>'EDE''s'!C164</f>
        <v>0.96494443036563238</v>
      </c>
      <c r="FY164" s="414"/>
      <c r="FZ164" s="414"/>
      <c r="GA164" s="414"/>
      <c r="GB164" s="414"/>
      <c r="GC164" s="414"/>
      <c r="GD164" s="414"/>
      <c r="GE164" s="414"/>
      <c r="GF164" s="414"/>
    </row>
    <row r="165" spans="1:188" ht="14.4" x14ac:dyDescent="0.3">
      <c r="A165" s="46"/>
      <c r="B165" s="21" t="s">
        <v>20</v>
      </c>
      <c r="C165" s="285">
        <v>0.91424168258191429</v>
      </c>
      <c r="D165" s="285">
        <v>0.91716325061674053</v>
      </c>
      <c r="E165" s="288">
        <v>-0.29215680348262385</v>
      </c>
      <c r="F165" s="285">
        <v>-3.1854394873122634E-3</v>
      </c>
      <c r="G165" s="281"/>
      <c r="H165" s="285">
        <v>0.97622059613288992</v>
      </c>
      <c r="I165" s="288">
        <v>-5.9057345516149384</v>
      </c>
      <c r="J165" s="285">
        <v>-6.0495902002163954E-2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361">
        <v>0.92750067242699952</v>
      </c>
      <c r="FH165" s="361">
        <v>0.90365668542688782</v>
      </c>
      <c r="FI165" s="361">
        <v>0.83114764637679917</v>
      </c>
      <c r="FJ165" s="361">
        <v>0.85902730721026543</v>
      </c>
      <c r="FK165" s="410"/>
      <c r="FL165" s="23">
        <v>0.94777761253700765</v>
      </c>
      <c r="FM165" s="23">
        <v>0.91320669335567028</v>
      </c>
      <c r="FN165" s="23">
        <v>0.88872772551099266</v>
      </c>
      <c r="FO165" s="23">
        <v>0.93842692622698953</v>
      </c>
      <c r="FP165" s="23">
        <v>0.94701446814703172</v>
      </c>
      <c r="FQ165" s="23">
        <v>0.93921060332306916</v>
      </c>
      <c r="FR165" s="23">
        <v>0.95238579959229874</v>
      </c>
      <c r="FS165" s="307">
        <v>0.94543548387415066</v>
      </c>
      <c r="FT165" s="361">
        <v>0.94262191247288429</v>
      </c>
      <c r="FU165" s="361">
        <v>0.93837762906858369</v>
      </c>
      <c r="FV165" s="361">
        <v>0.9777183623982999</v>
      </c>
      <c r="FW165" s="361">
        <v>0.92572577495343999</v>
      </c>
      <c r="FX165" s="361">
        <f>'EDE''s'!C165</f>
        <v>0.91424168258191429</v>
      </c>
      <c r="FY165" s="414"/>
      <c r="FZ165" s="414"/>
      <c r="GA165" s="414"/>
      <c r="GB165" s="414"/>
      <c r="GC165" s="414"/>
      <c r="GD165" s="414"/>
      <c r="GE165" s="414"/>
      <c r="GF165" s="414"/>
    </row>
    <row r="166" spans="1:188" ht="14.4" x14ac:dyDescent="0.3">
      <c r="A166" s="46"/>
      <c r="B166" s="24"/>
      <c r="C166" s="281"/>
      <c r="D166" s="281"/>
      <c r="E166" s="293" t="s">
        <v>360</v>
      </c>
      <c r="F166" s="281"/>
      <c r="G166" s="281"/>
      <c r="H166" s="281"/>
      <c r="I166" s="293" t="s">
        <v>360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10"/>
      <c r="FL166" s="429"/>
      <c r="FM166" s="429"/>
      <c r="FN166" s="429"/>
      <c r="FO166" s="429"/>
      <c r="FP166" s="429"/>
      <c r="FQ166" s="429"/>
      <c r="FR166" s="429"/>
      <c r="FS166" s="429"/>
      <c r="FT166" s="429"/>
      <c r="FU166" s="429"/>
      <c r="FV166" s="429"/>
      <c r="FW166" s="425"/>
      <c r="FX166" s="425"/>
      <c r="FY166" s="414"/>
      <c r="FZ166" s="414"/>
      <c r="GA166" s="414"/>
      <c r="GB166" s="414"/>
      <c r="GC166" s="414"/>
      <c r="GD166" s="414"/>
      <c r="GE166" s="414"/>
      <c r="GF166" s="414"/>
    </row>
    <row r="167" spans="1:188" ht="13.8" x14ac:dyDescent="0.3">
      <c r="A167" s="46"/>
      <c r="B167" s="42" t="s">
        <v>51</v>
      </c>
      <c r="C167" s="289">
        <v>0.95643735097853455</v>
      </c>
      <c r="D167" s="289">
        <v>0.94003511351895219</v>
      </c>
      <c r="E167" s="286">
        <v>1.6402237459582358</v>
      </c>
      <c r="F167" s="289">
        <v>1.7448537000050765E-2</v>
      </c>
      <c r="G167" s="283"/>
      <c r="H167" s="289">
        <v>0.96385362916458395</v>
      </c>
      <c r="I167" s="286">
        <v>-2.3818515645631755</v>
      </c>
      <c r="J167" s="289">
        <v>-2.4711755939827041E-2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365">
        <v>0.97640567787795074</v>
      </c>
      <c r="FH167" s="365">
        <v>0.9695115912089749</v>
      </c>
      <c r="FI167" s="365">
        <v>0.96118691876023821</v>
      </c>
      <c r="FJ167" s="365">
        <v>0.95643735097853455</v>
      </c>
      <c r="FK167" s="410"/>
      <c r="FL167" s="29"/>
      <c r="FM167" s="29"/>
      <c r="FN167" s="29"/>
      <c r="FO167" s="29"/>
      <c r="FP167" s="29"/>
      <c r="FQ167" s="29"/>
      <c r="FR167" s="29"/>
      <c r="FS167" s="310"/>
      <c r="FT167" s="365"/>
      <c r="FU167" s="365"/>
      <c r="FV167" s="365"/>
      <c r="FW167" s="365"/>
      <c r="FX167" s="365"/>
      <c r="FY167" s="414"/>
      <c r="FZ167" s="414"/>
      <c r="GA167" s="414"/>
      <c r="GB167" s="414"/>
      <c r="GC167" s="414"/>
      <c r="GD167" s="414"/>
      <c r="GE167" s="414"/>
      <c r="GF167" s="414"/>
    </row>
    <row r="168" spans="1:188" ht="13.8" x14ac:dyDescent="0.3">
      <c r="A168" s="46"/>
      <c r="B168" s="21" t="s">
        <v>18</v>
      </c>
      <c r="C168" s="285">
        <v>0.96515474680485702</v>
      </c>
      <c r="D168" s="285">
        <v>0.96243326876735857</v>
      </c>
      <c r="E168" s="288">
        <v>0.27214780374984482</v>
      </c>
      <c r="F168" s="285">
        <v>2.827705697439154E-3</v>
      </c>
      <c r="G168" s="283"/>
      <c r="H168" s="285">
        <v>0.96833042586305473</v>
      </c>
      <c r="I168" s="288">
        <v>-0.58971570956961594</v>
      </c>
      <c r="J168" s="285">
        <v>-6.0900256133541754E-3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361">
        <v>0.97507917116809262</v>
      </c>
      <c r="FH168" s="361">
        <v>0.96738138841192189</v>
      </c>
      <c r="FI168" s="361">
        <v>0.96746205991865242</v>
      </c>
      <c r="FJ168" s="361">
        <v>0.96515474680485702</v>
      </c>
      <c r="FK168" s="410"/>
      <c r="FL168" s="23"/>
      <c r="FM168" s="23"/>
      <c r="FN168" s="23"/>
      <c r="FO168" s="23"/>
      <c r="FP168" s="23"/>
      <c r="FQ168" s="23"/>
      <c r="FR168" s="23"/>
      <c r="FS168" s="307"/>
      <c r="FT168" s="361"/>
      <c r="FU168" s="361"/>
      <c r="FV168" s="361"/>
      <c r="FW168" s="361"/>
      <c r="FX168" s="361"/>
      <c r="FY168" s="414"/>
      <c r="FZ168" s="414"/>
      <c r="GA168" s="414"/>
      <c r="GB168" s="414"/>
      <c r="GC168" s="414"/>
      <c r="GD168" s="414"/>
      <c r="GE168" s="414"/>
      <c r="GF168" s="414"/>
    </row>
    <row r="169" spans="1:188" ht="13.8" x14ac:dyDescent="0.3">
      <c r="A169" s="46"/>
      <c r="B169" s="21" t="s">
        <v>19</v>
      </c>
      <c r="C169" s="285">
        <v>0.9716343114881969</v>
      </c>
      <c r="D169" s="285">
        <v>0.93230206284376949</v>
      </c>
      <c r="E169" s="288">
        <v>3.9332248644427414</v>
      </c>
      <c r="F169" s="285">
        <v>4.2188310218314422E-2</v>
      </c>
      <c r="G169" s="283"/>
      <c r="H169" s="285">
        <v>0.94732750206514871</v>
      </c>
      <c r="I169" s="288">
        <v>-1.5025439221379222</v>
      </c>
      <c r="J169" s="285">
        <v>-1.5860870911721833E-2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361">
        <v>0.98013218904569754</v>
      </c>
      <c r="FH169" s="361">
        <v>0.97885329434724788</v>
      </c>
      <c r="FI169" s="361">
        <v>0.9699720827709819</v>
      </c>
      <c r="FJ169" s="361">
        <v>0.9716343114881969</v>
      </c>
      <c r="FK169" s="410"/>
      <c r="FL169" s="23"/>
      <c r="FM169" s="23"/>
      <c r="FN169" s="23"/>
      <c r="FO169" s="23"/>
      <c r="FP169" s="23"/>
      <c r="FQ169" s="23"/>
      <c r="FR169" s="23"/>
      <c r="FS169" s="307"/>
      <c r="FT169" s="361"/>
      <c r="FU169" s="361"/>
      <c r="FV169" s="361"/>
      <c r="FW169" s="361"/>
      <c r="FX169" s="361"/>
      <c r="FY169" s="414"/>
      <c r="FZ169" s="414"/>
      <c r="GA169" s="414"/>
      <c r="GB169" s="414"/>
      <c r="GC169" s="414"/>
      <c r="GD169" s="414"/>
      <c r="GE169" s="414"/>
      <c r="GF169" s="414"/>
    </row>
    <row r="170" spans="1:188" ht="13.8" x14ac:dyDescent="0.3">
      <c r="A170" s="46"/>
      <c r="B170" s="21" t="s">
        <v>20</v>
      </c>
      <c r="C170" s="285">
        <v>0.92245941234666151</v>
      </c>
      <c r="D170" s="285">
        <v>0.92438607949407814</v>
      </c>
      <c r="E170" s="288">
        <v>-0.19266671474166275</v>
      </c>
      <c r="F170" s="285">
        <v>-2.084266725945401E-3</v>
      </c>
      <c r="G170" s="283"/>
      <c r="H170" s="285">
        <v>0.98259483349673482</v>
      </c>
      <c r="I170" s="288">
        <v>-5.8208754002656686</v>
      </c>
      <c r="J170" s="285">
        <v>-5.9239833162475219E-2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361">
        <v>0.97222761423317583</v>
      </c>
      <c r="FH170" s="361">
        <v>0.95764665067294175</v>
      </c>
      <c r="FI170" s="361">
        <v>0.93962661547968096</v>
      </c>
      <c r="FJ170" s="361">
        <v>0.92245941234666151</v>
      </c>
      <c r="FK170" s="410"/>
      <c r="FL170" s="23"/>
      <c r="FM170" s="23"/>
      <c r="FN170" s="23"/>
      <c r="FO170" s="23"/>
      <c r="FP170" s="23"/>
      <c r="FQ170" s="23"/>
      <c r="FR170" s="23"/>
      <c r="FS170" s="307"/>
      <c r="FT170" s="361"/>
      <c r="FU170" s="361"/>
      <c r="FV170" s="361"/>
      <c r="FW170" s="361"/>
      <c r="FX170" s="361"/>
      <c r="FY170" s="414"/>
      <c r="FZ170" s="414"/>
      <c r="GA170" s="414"/>
      <c r="GB170" s="414"/>
      <c r="GC170" s="414"/>
      <c r="GD170" s="414"/>
      <c r="GE170" s="414"/>
      <c r="GF170" s="414"/>
    </row>
    <row r="171" spans="1:188" ht="14.4" x14ac:dyDescent="0.3">
      <c r="A171" s="46"/>
      <c r="B171" s="24"/>
      <c r="C171" s="281"/>
      <c r="D171" s="281"/>
      <c r="E171" s="293" t="s">
        <v>360</v>
      </c>
      <c r="F171" s="281"/>
      <c r="G171" s="281"/>
      <c r="H171" s="281"/>
      <c r="I171" s="293" t="s">
        <v>360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10"/>
      <c r="FL171" s="429"/>
      <c r="FM171" s="429"/>
      <c r="FN171" s="429"/>
      <c r="FO171" s="429"/>
      <c r="FP171" s="429"/>
      <c r="FQ171" s="429"/>
      <c r="FR171" s="429"/>
      <c r="FS171" s="429"/>
      <c r="FT171" s="429"/>
      <c r="FU171" s="429"/>
      <c r="FV171" s="429"/>
      <c r="FW171" s="425"/>
      <c r="FX171" s="425"/>
      <c r="FY171" s="414"/>
      <c r="FZ171" s="414"/>
      <c r="GA171" s="414"/>
      <c r="GB171" s="414"/>
      <c r="GC171" s="414"/>
      <c r="GD171" s="414"/>
      <c r="GE171" s="414"/>
      <c r="GF171" s="414"/>
    </row>
    <row r="172" spans="1:188" ht="14.4" x14ac:dyDescent="0.3">
      <c r="A172" s="46"/>
      <c r="B172" s="42" t="s">
        <v>52</v>
      </c>
      <c r="C172" s="289">
        <v>0.6341622299407611</v>
      </c>
      <c r="D172" s="289">
        <v>0.62594437012696758</v>
      </c>
      <c r="E172" s="286">
        <v>0.82178598137935266</v>
      </c>
      <c r="F172" s="289">
        <v>1.3128738280890045E-2</v>
      </c>
      <c r="G172" s="281"/>
      <c r="H172" s="289">
        <v>0.70232966964435406</v>
      </c>
      <c r="I172" s="286">
        <v>-7.6385299517386489</v>
      </c>
      <c r="J172" s="289">
        <v>-0.10875989270973915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0.63619935653830739</v>
      </c>
      <c r="FG172" s="365">
        <v>0.62688739504954583</v>
      </c>
      <c r="FH172" s="365">
        <v>0.6214094616601451</v>
      </c>
      <c r="FI172" s="365">
        <v>0.66615350023357045</v>
      </c>
      <c r="FJ172" s="365">
        <v>0.68084849244808565</v>
      </c>
      <c r="FK172" s="410"/>
      <c r="FL172" s="29">
        <v>0.58433766452166369</v>
      </c>
      <c r="FM172" s="29">
        <v>0.58712936517002534</v>
      </c>
      <c r="FN172" s="29">
        <v>0.59908359723975591</v>
      </c>
      <c r="FO172" s="29">
        <v>0.61243694501786805</v>
      </c>
      <c r="FP172" s="29">
        <v>0.63801188102444195</v>
      </c>
      <c r="FQ172" s="29">
        <v>0.64986728109643488</v>
      </c>
      <c r="FR172" s="29">
        <v>0.66412699778513373</v>
      </c>
      <c r="FS172" s="310">
        <v>0.66054883436511935</v>
      </c>
      <c r="FT172" s="365">
        <v>0.67430653429011378</v>
      </c>
      <c r="FU172" s="365">
        <v>0.68489841493890402</v>
      </c>
      <c r="FV172" s="365">
        <v>0.70427816785920905</v>
      </c>
      <c r="FW172" s="365">
        <v>0.63143849376462435</v>
      </c>
      <c r="FX172" s="365">
        <f>'EDE''s'!C172</f>
        <v>0.6341622299407611</v>
      </c>
      <c r="FY172" s="414"/>
      <c r="FZ172" s="414"/>
      <c r="GA172" s="414"/>
      <c r="GB172" s="414"/>
      <c r="GC172" s="414"/>
      <c r="GD172" s="414"/>
      <c r="GE172" s="414"/>
      <c r="GF172" s="414"/>
    </row>
    <row r="173" spans="1:188" ht="14.4" x14ac:dyDescent="0.3">
      <c r="A173" s="46"/>
      <c r="B173" s="21" t="s">
        <v>18</v>
      </c>
      <c r="C173" s="285">
        <v>0.74291660029158946</v>
      </c>
      <c r="D173" s="285">
        <v>0.73792702631263041</v>
      </c>
      <c r="E173" s="288">
        <v>0.49895739789590499</v>
      </c>
      <c r="F173" s="285">
        <v>6.7616089410515298E-3</v>
      </c>
      <c r="G173" s="281"/>
      <c r="H173" s="285">
        <v>0.76697541093309773</v>
      </c>
      <c r="I173" s="288">
        <v>-2.9048384620467327</v>
      </c>
      <c r="J173" s="285">
        <v>-3.787394511791093E-2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361">
        <v>0.72137820807521102</v>
      </c>
      <c r="FH173" s="361">
        <v>0.73492778322044461</v>
      </c>
      <c r="FI173" s="361">
        <v>0.82038621664206923</v>
      </c>
      <c r="FJ173" s="361">
        <v>0.78771674046508944</v>
      </c>
      <c r="FK173" s="410"/>
      <c r="FL173" s="23">
        <v>0.61680998502325468</v>
      </c>
      <c r="FM173" s="23">
        <v>0.60423221950994832</v>
      </c>
      <c r="FN173" s="23">
        <v>0.58280392266537828</v>
      </c>
      <c r="FO173" s="23">
        <v>0.58777556249352014</v>
      </c>
      <c r="FP173" s="23">
        <v>0.62617160930840576</v>
      </c>
      <c r="FQ173" s="23">
        <v>0.65722880530709615</v>
      </c>
      <c r="FR173" s="23">
        <v>0.68105017371980714</v>
      </c>
      <c r="FS173" s="307">
        <v>0.70560362698501189</v>
      </c>
      <c r="FT173" s="361">
        <v>0.7309186101766314</v>
      </c>
      <c r="FU173" s="361">
        <v>0.74808574079363743</v>
      </c>
      <c r="FV173" s="361">
        <v>0.77414023390676734</v>
      </c>
      <c r="FW173" s="361">
        <v>0.74668324981151557</v>
      </c>
      <c r="FX173" s="361">
        <f>'EDE''s'!C173</f>
        <v>0.74291660029158946</v>
      </c>
      <c r="FY173" s="414"/>
      <c r="FZ173" s="414"/>
      <c r="GA173" s="414"/>
      <c r="GB173" s="414"/>
      <c r="GC173" s="414"/>
      <c r="GD173" s="414"/>
      <c r="GE173" s="414"/>
      <c r="GF173" s="414"/>
    </row>
    <row r="174" spans="1:188" ht="14.4" x14ac:dyDescent="0.3">
      <c r="A174" s="46"/>
      <c r="B174" s="21" t="s">
        <v>19</v>
      </c>
      <c r="C174" s="285">
        <v>0.70975282224243319</v>
      </c>
      <c r="D174" s="285">
        <v>0.69789277863343979</v>
      </c>
      <c r="E174" s="288">
        <v>1.1860043608993398</v>
      </c>
      <c r="F174" s="285">
        <v>1.6994076987322936E-2</v>
      </c>
      <c r="G174" s="281"/>
      <c r="H174" s="285">
        <v>0.74335774142770816</v>
      </c>
      <c r="I174" s="288">
        <v>-4.5464962794268367</v>
      </c>
      <c r="J174" s="285">
        <v>-6.1161618774491305E-2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0.71822456351536845</v>
      </c>
      <c r="FG174" s="361">
        <v>0.71768578186757226</v>
      </c>
      <c r="FH174" s="361">
        <v>0.68974876261727147</v>
      </c>
      <c r="FI174" s="361">
        <v>0.73404826430458725</v>
      </c>
      <c r="FJ174" s="361">
        <v>0.76614669879498054</v>
      </c>
      <c r="FK174" s="410"/>
      <c r="FL174" s="23">
        <v>0.60300852736140398</v>
      </c>
      <c r="FM174" s="23">
        <v>0.60562482397279416</v>
      </c>
      <c r="FN174" s="23">
        <v>0.63702505351922512</v>
      </c>
      <c r="FO174" s="23">
        <v>0.66699974065585121</v>
      </c>
      <c r="FP174" s="23">
        <v>0.6789960723640438</v>
      </c>
      <c r="FQ174" s="23">
        <v>0.68802458670271016</v>
      </c>
      <c r="FR174" s="23">
        <v>0.69102020836509748</v>
      </c>
      <c r="FS174" s="307">
        <v>0.6844858015928057</v>
      </c>
      <c r="FT174" s="361">
        <v>0.70530126784313751</v>
      </c>
      <c r="FU174" s="361">
        <v>0.72942801139842639</v>
      </c>
      <c r="FV174" s="361">
        <v>0.74607644868638823</v>
      </c>
      <c r="FW174" s="361">
        <v>0.70340519487524256</v>
      </c>
      <c r="FX174" s="361">
        <f>'EDE''s'!C174</f>
        <v>0.70975282224243319</v>
      </c>
      <c r="FY174" s="414"/>
      <c r="FZ174" s="414"/>
      <c r="GA174" s="414"/>
      <c r="GB174" s="414"/>
      <c r="GC174" s="414"/>
      <c r="GD174" s="414"/>
      <c r="GE174" s="414"/>
      <c r="GF174" s="414"/>
    </row>
    <row r="175" spans="1:188" ht="14.4" x14ac:dyDescent="0.3">
      <c r="A175" s="46"/>
      <c r="B175" s="21" t="s">
        <v>20</v>
      </c>
      <c r="C175" s="285">
        <v>0.46450063990682955</v>
      </c>
      <c r="D175" s="285">
        <v>0.45884927222776273</v>
      </c>
      <c r="E175" s="288">
        <v>0.5651367679066821</v>
      </c>
      <c r="F175" s="285">
        <v>1.231639237789094E-2</v>
      </c>
      <c r="G175" s="281"/>
      <c r="H175" s="285">
        <v>0.60631440982635987</v>
      </c>
      <c r="I175" s="288">
        <v>-14.746513759859713</v>
      </c>
      <c r="J175" s="285">
        <v>-0.24321562411955394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361">
        <v>0.44762738562909149</v>
      </c>
      <c r="FH175" s="361">
        <v>0.45373359796545143</v>
      </c>
      <c r="FI175" s="361">
        <v>0.470094062399248</v>
      </c>
      <c r="FJ175" s="361">
        <v>0.50121172146230819</v>
      </c>
      <c r="FK175" s="410"/>
      <c r="FL175" s="23">
        <v>0.52761481172813374</v>
      </c>
      <c r="FM175" s="23">
        <v>0.54907448602888498</v>
      </c>
      <c r="FN175" s="23">
        <v>0.56866371305532737</v>
      </c>
      <c r="FO175" s="23">
        <v>0.57316295555295138</v>
      </c>
      <c r="FP175" s="23">
        <v>0.60307369897113383</v>
      </c>
      <c r="FQ175" s="23">
        <v>0.60081118673330747</v>
      </c>
      <c r="FR175" s="23">
        <v>0.62071608137121426</v>
      </c>
      <c r="FS175" s="307">
        <v>0.59389465134077035</v>
      </c>
      <c r="FT175" s="361">
        <v>0.59156339044890482</v>
      </c>
      <c r="FU175" s="361">
        <v>0.58648087820557582</v>
      </c>
      <c r="FV175" s="361">
        <v>0.60305873446860103</v>
      </c>
      <c r="FW175" s="361">
        <v>0.46198677144863692</v>
      </c>
      <c r="FX175" s="361">
        <f>'EDE''s'!C175</f>
        <v>0.46450063990682955</v>
      </c>
      <c r="FY175" s="414"/>
      <c r="FZ175" s="414"/>
      <c r="GA175" s="414"/>
      <c r="GB175" s="414"/>
      <c r="GC175" s="414"/>
      <c r="GD175" s="414"/>
      <c r="GE175" s="414"/>
      <c r="GF175" s="414"/>
    </row>
    <row r="176" spans="1:188" ht="14.4" x14ac:dyDescent="0.3">
      <c r="A176" s="46"/>
      <c r="B176" s="24"/>
      <c r="C176" s="281"/>
      <c r="D176" s="281"/>
      <c r="E176" s="293" t="s">
        <v>360</v>
      </c>
      <c r="F176" s="281"/>
      <c r="G176" s="281"/>
      <c r="H176" s="281"/>
      <c r="I176" s="293" t="s">
        <v>360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10"/>
      <c r="FL176" s="429"/>
      <c r="FM176" s="429"/>
      <c r="FN176" s="429"/>
      <c r="FO176" s="429"/>
      <c r="FP176" s="429"/>
      <c r="FQ176" s="429"/>
      <c r="FR176" s="429"/>
      <c r="FS176" s="429"/>
      <c r="FT176" s="429"/>
      <c r="FU176" s="429"/>
      <c r="FV176" s="429"/>
      <c r="FW176" s="425"/>
      <c r="FX176" s="425"/>
      <c r="FY176" s="414"/>
      <c r="FZ176" s="414"/>
      <c r="GA176" s="414"/>
      <c r="GB176" s="414"/>
      <c r="GC176" s="414"/>
      <c r="GD176" s="414"/>
      <c r="GE176" s="414"/>
      <c r="GF176" s="414"/>
    </row>
    <row r="177" spans="1:188" ht="13.8" x14ac:dyDescent="0.3">
      <c r="A177" s="46"/>
      <c r="B177" s="42" t="s">
        <v>53</v>
      </c>
      <c r="C177" s="289">
        <v>0.63886602804917736</v>
      </c>
      <c r="D177" s="289">
        <v>0.63409505623810092</v>
      </c>
      <c r="E177" s="286">
        <v>0.4770971811076441</v>
      </c>
      <c r="F177" s="289">
        <v>7.524064040778382E-3</v>
      </c>
      <c r="G177" s="283"/>
      <c r="H177" s="289">
        <v>0.7015091418291024</v>
      </c>
      <c r="I177" s="286">
        <v>-6.7414085591001482</v>
      </c>
      <c r="J177" s="289">
        <v>-9.6098655842498631E-2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365">
        <v>0.64645457840780585</v>
      </c>
      <c r="FH177" s="365">
        <v>0.64249286615596801</v>
      </c>
      <c r="FI177" s="365">
        <v>0.6416009821499209</v>
      </c>
      <c r="FJ177" s="365">
        <v>0.63886602804917736</v>
      </c>
      <c r="FK177" s="410"/>
      <c r="FL177" s="29"/>
      <c r="FM177" s="29"/>
      <c r="FN177" s="29"/>
      <c r="FO177" s="29"/>
      <c r="FP177" s="29"/>
      <c r="FQ177" s="29"/>
      <c r="FR177" s="29"/>
      <c r="FS177" s="310"/>
      <c r="FT177" s="365"/>
      <c r="FU177" s="365"/>
      <c r="FV177" s="365"/>
      <c r="FW177" s="365"/>
      <c r="FX177" s="365"/>
      <c r="FY177" s="414"/>
      <c r="FZ177" s="414"/>
      <c r="GA177" s="414"/>
      <c r="GB177" s="414"/>
      <c r="GC177" s="414"/>
      <c r="GD177" s="414"/>
      <c r="GE177" s="414"/>
      <c r="GF177" s="414"/>
    </row>
    <row r="178" spans="1:188" ht="13.8" x14ac:dyDescent="0.3">
      <c r="A178" s="46"/>
      <c r="B178" s="21" t="s">
        <v>18</v>
      </c>
      <c r="C178" s="285">
        <v>0.75081275153821181</v>
      </c>
      <c r="D178" s="285">
        <v>0.74772592769585688</v>
      </c>
      <c r="E178" s="288">
        <v>0.30868238423549244</v>
      </c>
      <c r="F178" s="285">
        <v>4.1282824735890565E-3</v>
      </c>
      <c r="G178" s="283"/>
      <c r="H178" s="285">
        <v>0.76831228492175363</v>
      </c>
      <c r="I178" s="288">
        <v>-2.0586357225896745</v>
      </c>
      <c r="J178" s="285">
        <v>-2.679425753031308E-2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361">
        <v>0.75643277689644006</v>
      </c>
      <c r="FH178" s="361">
        <v>0.75116436853547153</v>
      </c>
      <c r="FI178" s="361">
        <v>0.75420230217384621</v>
      </c>
      <c r="FJ178" s="361">
        <v>0.75081275153821181</v>
      </c>
      <c r="FK178" s="410"/>
      <c r="FL178" s="23"/>
      <c r="FM178" s="23"/>
      <c r="FN178" s="23"/>
      <c r="FO178" s="23"/>
      <c r="FP178" s="23"/>
      <c r="FQ178" s="23"/>
      <c r="FR178" s="23"/>
      <c r="FS178" s="307"/>
      <c r="FT178" s="361"/>
      <c r="FU178" s="361"/>
      <c r="FV178" s="361"/>
      <c r="FW178" s="361"/>
      <c r="FX178" s="361"/>
      <c r="FY178" s="414"/>
      <c r="FZ178" s="414"/>
      <c r="GA178" s="414"/>
      <c r="GB178" s="414"/>
      <c r="GC178" s="414"/>
      <c r="GD178" s="414"/>
      <c r="GE178" s="414"/>
      <c r="GF178" s="414"/>
    </row>
    <row r="179" spans="1:188" ht="13.8" x14ac:dyDescent="0.3">
      <c r="A179" s="46"/>
      <c r="B179" s="21" t="s">
        <v>19</v>
      </c>
      <c r="C179" s="285">
        <v>0.7143740315016186</v>
      </c>
      <c r="D179" s="285">
        <v>0.70433128473944639</v>
      </c>
      <c r="E179" s="288">
        <v>1.0042746762172206</v>
      </c>
      <c r="F179" s="285">
        <v>1.4258555568616159E-2</v>
      </c>
      <c r="G179" s="283"/>
      <c r="H179" s="285">
        <v>0.74350124197877054</v>
      </c>
      <c r="I179" s="288">
        <v>-3.9169957239324149</v>
      </c>
      <c r="J179" s="285">
        <v>-5.2683109358467733E-2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361">
        <v>0.72307335201366685</v>
      </c>
      <c r="FH179" s="361">
        <v>0.72002705966700631</v>
      </c>
      <c r="FI179" s="361">
        <v>0.71633327300019689</v>
      </c>
      <c r="FJ179" s="361">
        <v>0.7143740315016186</v>
      </c>
      <c r="FK179" s="410"/>
      <c r="FL179" s="23"/>
      <c r="FM179" s="23"/>
      <c r="FN179" s="23"/>
      <c r="FO179" s="23"/>
      <c r="FP179" s="23"/>
      <c r="FQ179" s="23"/>
      <c r="FR179" s="23"/>
      <c r="FS179" s="307"/>
      <c r="FT179" s="361"/>
      <c r="FU179" s="361"/>
      <c r="FV179" s="361"/>
      <c r="FW179" s="361"/>
      <c r="FX179" s="361"/>
      <c r="FY179" s="414"/>
      <c r="FZ179" s="414"/>
      <c r="GA179" s="414"/>
      <c r="GB179" s="414"/>
      <c r="GC179" s="414"/>
      <c r="GD179" s="414"/>
      <c r="GE179" s="414"/>
      <c r="GF179" s="414"/>
    </row>
    <row r="180" spans="1:188" ht="13.8" x14ac:dyDescent="0.3">
      <c r="A180" s="46"/>
      <c r="B180" s="21" t="s">
        <v>20</v>
      </c>
      <c r="C180" s="285">
        <v>0.46702656817126603</v>
      </c>
      <c r="D180" s="285">
        <v>0.46732235350205226</v>
      </c>
      <c r="E180" s="288">
        <v>-2.957853307862246E-2</v>
      </c>
      <c r="F180" s="285">
        <v>-6.32936405822765E-4</v>
      </c>
      <c r="G180" s="283"/>
      <c r="H180" s="285">
        <v>0.60347789628104653</v>
      </c>
      <c r="I180" s="288">
        <v>-13.615554277899427</v>
      </c>
      <c r="J180" s="285">
        <v>-0.22561811065170329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361">
        <v>0.47555382461843121</v>
      </c>
      <c r="FH180" s="361">
        <v>0.47139072551961714</v>
      </c>
      <c r="FI180" s="361">
        <v>0.47008629939170715</v>
      </c>
      <c r="FJ180" s="361">
        <v>0.46702656817126603</v>
      </c>
      <c r="FK180" s="410"/>
      <c r="FL180" s="23"/>
      <c r="FM180" s="23"/>
      <c r="FN180" s="23"/>
      <c r="FO180" s="23"/>
      <c r="FP180" s="23"/>
      <c r="FQ180" s="23"/>
      <c r="FR180" s="23"/>
      <c r="FS180" s="307"/>
      <c r="FT180" s="361"/>
      <c r="FU180" s="361"/>
      <c r="FV180" s="361"/>
      <c r="FW180" s="361"/>
      <c r="FX180" s="361"/>
      <c r="FY180" s="414"/>
      <c r="FZ180" s="414"/>
      <c r="GA180" s="414"/>
      <c r="GB180" s="414"/>
      <c r="GC180" s="414"/>
      <c r="GD180" s="414"/>
      <c r="GE180" s="414"/>
      <c r="GF180" s="414"/>
    </row>
    <row r="181" spans="1:188" ht="14.4" x14ac:dyDescent="0.3">
      <c r="A181" s="46"/>
      <c r="B181" s="24"/>
      <c r="C181" s="281"/>
      <c r="D181" s="281"/>
      <c r="E181" s="293" t="s">
        <v>360</v>
      </c>
      <c r="F181" s="281"/>
      <c r="G181" s="281"/>
      <c r="H181" s="281"/>
      <c r="I181" s="293" t="s">
        <v>360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10"/>
      <c r="FL181" s="429"/>
      <c r="FM181" s="429"/>
      <c r="FN181" s="429"/>
      <c r="FO181" s="429"/>
      <c r="FP181" s="429"/>
      <c r="FQ181" s="429"/>
      <c r="FR181" s="429"/>
      <c r="FS181" s="429"/>
      <c r="FT181" s="429"/>
      <c r="FU181" s="429"/>
      <c r="FV181" s="429"/>
      <c r="FW181" s="425"/>
      <c r="FX181" s="425"/>
      <c r="FY181" s="414"/>
      <c r="FZ181" s="414"/>
      <c r="GA181" s="414"/>
      <c r="GB181" s="414"/>
      <c r="GC181" s="414"/>
      <c r="GD181" s="414"/>
      <c r="GE181" s="414"/>
      <c r="GF181" s="414"/>
    </row>
    <row r="182" spans="1:188" ht="14.4" x14ac:dyDescent="0.3">
      <c r="A182" s="46"/>
      <c r="B182" s="42" t="s">
        <v>54</v>
      </c>
      <c r="C182" s="289">
        <v>0.6381220403360891</v>
      </c>
      <c r="D182" s="289">
        <v>0.63239029861688545</v>
      </c>
      <c r="E182" s="286">
        <v>0.57317417192036535</v>
      </c>
      <c r="F182" s="289">
        <v>9.0636142454108958E-3</v>
      </c>
      <c r="G182" s="281"/>
      <c r="H182" s="289">
        <v>0.70223566996244913</v>
      </c>
      <c r="I182" s="286">
        <v>-6.9845371345563674</v>
      </c>
      <c r="J182" s="289">
        <v>-9.9461440557837996E-2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0.63653625202999109</v>
      </c>
      <c r="FG182" s="365">
        <v>0.62977524685775566</v>
      </c>
      <c r="FH182" s="365">
        <v>0.62257334911117501</v>
      </c>
      <c r="FI182" s="365">
        <v>0.66811908860801483</v>
      </c>
      <c r="FJ182" s="365">
        <v>0.68044212345167432</v>
      </c>
      <c r="FK182" s="410"/>
      <c r="FL182" s="29">
        <v>0.60194766757371909</v>
      </c>
      <c r="FM182" s="29">
        <v>0.58551904712311587</v>
      </c>
      <c r="FN182" s="29">
        <v>0.59105774852822524</v>
      </c>
      <c r="FO182" s="29">
        <v>0.60971014405901303</v>
      </c>
      <c r="FP182" s="29">
        <v>0.64126738020128193</v>
      </c>
      <c r="FQ182" s="29">
        <v>0.65428392257446999</v>
      </c>
      <c r="FR182" s="29">
        <v>0.66804062521075158</v>
      </c>
      <c r="FS182" s="310">
        <v>0.66444490470577189</v>
      </c>
      <c r="FT182" s="365">
        <v>0.68046116121510825</v>
      </c>
      <c r="FU182" s="365">
        <v>0.68892221855100266</v>
      </c>
      <c r="FV182" s="365">
        <v>0.70399061776866345</v>
      </c>
      <c r="FW182" s="365">
        <v>0.6390429101259113</v>
      </c>
      <c r="FX182" s="365">
        <f>'EDE''s'!C182</f>
        <v>0.6381220403360891</v>
      </c>
      <c r="FY182" s="414"/>
      <c r="FZ182" s="414"/>
      <c r="GA182" s="414"/>
      <c r="GB182" s="414"/>
      <c r="GC182" s="414"/>
      <c r="GD182" s="414"/>
      <c r="GE182" s="414"/>
      <c r="GF182" s="414"/>
    </row>
    <row r="183" spans="1:188" ht="14.4" x14ac:dyDescent="0.3">
      <c r="A183" s="46"/>
      <c r="B183" s="21" t="s">
        <v>18</v>
      </c>
      <c r="C183" s="285">
        <v>0.75065585262635193</v>
      </c>
      <c r="D183" s="285">
        <v>0.74338527710592051</v>
      </c>
      <c r="E183" s="288">
        <v>0.72705755204314215</v>
      </c>
      <c r="F183" s="285">
        <v>9.7803598542286988E-3</v>
      </c>
      <c r="G183" s="281"/>
      <c r="H183" s="285">
        <v>0.76763302987699711</v>
      </c>
      <c r="I183" s="288">
        <v>-2.4247752771076603</v>
      </c>
      <c r="J183" s="285">
        <v>-3.15876881626133E-2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0.73143376813746375</v>
      </c>
      <c r="FG183" s="361">
        <v>0.72137820807551356</v>
      </c>
      <c r="FH183" s="361">
        <v>0.73492778322044472</v>
      </c>
      <c r="FI183" s="361">
        <v>0.82038621664206934</v>
      </c>
      <c r="FJ183" s="361">
        <v>0.78771674046508944</v>
      </c>
      <c r="FK183" s="410"/>
      <c r="FL183" s="23">
        <v>0.62470108858537032</v>
      </c>
      <c r="FM183" s="23">
        <v>0.57994912903332185</v>
      </c>
      <c r="FN183" s="23">
        <v>0.56436666578190764</v>
      </c>
      <c r="FO183" s="23">
        <v>0.56979791785915856</v>
      </c>
      <c r="FP183" s="23">
        <v>0.6245682997893629</v>
      </c>
      <c r="FQ183" s="23">
        <v>0.65646676365507795</v>
      </c>
      <c r="FR183" s="23">
        <v>0.68149478934436536</v>
      </c>
      <c r="FS183" s="307">
        <v>0.70922969091825394</v>
      </c>
      <c r="FT183" s="361">
        <v>0.73251986711967088</v>
      </c>
      <c r="FU183" s="361">
        <v>0.74998525068312571</v>
      </c>
      <c r="FV183" s="361">
        <v>0.77409338428274699</v>
      </c>
      <c r="FW183" s="361">
        <v>0.75215311137231911</v>
      </c>
      <c r="FX183" s="361">
        <f>'EDE''s'!C183</f>
        <v>0.75065585262635193</v>
      </c>
      <c r="FY183" s="414"/>
      <c r="FZ183" s="414"/>
      <c r="GA183" s="414"/>
      <c r="GB183" s="414"/>
      <c r="GC183" s="414"/>
      <c r="GD183" s="414"/>
      <c r="GE183" s="414"/>
      <c r="GF183" s="414"/>
    </row>
    <row r="184" spans="1:188" ht="14.4" x14ac:dyDescent="0.3">
      <c r="A184" s="46"/>
      <c r="B184" s="21" t="s">
        <v>19</v>
      </c>
      <c r="C184" s="285">
        <v>0.71485045992956586</v>
      </c>
      <c r="D184" s="285">
        <v>0.70976290245936235</v>
      </c>
      <c r="E184" s="288">
        <v>0.50875574702035076</v>
      </c>
      <c r="F184" s="285">
        <v>7.1679675742066509E-3</v>
      </c>
      <c r="G184" s="281"/>
      <c r="H184" s="285">
        <v>0.74202124833094107</v>
      </c>
      <c r="I184" s="288">
        <v>-3.225834587157872</v>
      </c>
      <c r="J184" s="285">
        <v>-4.3473614730223355E-2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0.71980709568754175</v>
      </c>
      <c r="FG184" s="361">
        <v>0.72695776940439782</v>
      </c>
      <c r="FH184" s="361">
        <v>0.69390799674822179</v>
      </c>
      <c r="FI184" s="361">
        <v>0.735292276156438</v>
      </c>
      <c r="FJ184" s="361">
        <v>0.76672436266767985</v>
      </c>
      <c r="FK184" s="410"/>
      <c r="FL184" s="23">
        <v>0.62627097095961382</v>
      </c>
      <c r="FM184" s="23">
        <v>0.62164767645350216</v>
      </c>
      <c r="FN184" s="23">
        <v>0.63446510176963555</v>
      </c>
      <c r="FO184" s="23">
        <v>0.67485947190623718</v>
      </c>
      <c r="FP184" s="23">
        <v>0.68028887739966581</v>
      </c>
      <c r="FQ184" s="23">
        <v>0.69988845963842339</v>
      </c>
      <c r="FR184" s="23">
        <v>0.69096092583370061</v>
      </c>
      <c r="FS184" s="307">
        <v>0.68070250410134914</v>
      </c>
      <c r="FT184" s="361">
        <v>0.70789080883714484</v>
      </c>
      <c r="FU184" s="361">
        <v>0.73206534703940673</v>
      </c>
      <c r="FV184" s="361">
        <v>0.74551624908357506</v>
      </c>
      <c r="FW184" s="361">
        <v>0.71601619262649752</v>
      </c>
      <c r="FX184" s="361">
        <f>'EDE''s'!C184</f>
        <v>0.71485045992956586</v>
      </c>
      <c r="FY184" s="414"/>
      <c r="FZ184" s="414"/>
      <c r="GA184" s="414"/>
      <c r="GB184" s="414"/>
      <c r="GC184" s="414"/>
      <c r="GD184" s="414"/>
      <c r="GE184" s="414"/>
      <c r="GF184" s="414"/>
    </row>
    <row r="185" spans="1:188" ht="14.4" x14ac:dyDescent="0.3">
      <c r="A185" s="46"/>
      <c r="B185" s="21" t="s">
        <v>20</v>
      </c>
      <c r="C185" s="285">
        <v>0.46438590586831296</v>
      </c>
      <c r="D185" s="285">
        <v>0.45999268611887217</v>
      </c>
      <c r="E185" s="288">
        <v>0.4393219749440791</v>
      </c>
      <c r="F185" s="285">
        <v>9.5506295687177219E-3</v>
      </c>
      <c r="G185" s="281"/>
      <c r="H185" s="285">
        <v>0.6059837250536706</v>
      </c>
      <c r="I185" s="288">
        <v>-14.599103893479842</v>
      </c>
      <c r="J185" s="285">
        <v>-0.2409157752906125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361">
        <v>0.44762738562909143</v>
      </c>
      <c r="FH185" s="361">
        <v>0.45373359796545099</v>
      </c>
      <c r="FI185" s="361">
        <v>0.47009406239924784</v>
      </c>
      <c r="FJ185" s="361">
        <v>0.50121172146230886</v>
      </c>
      <c r="FK185" s="410"/>
      <c r="FL185" s="23">
        <v>0.54818186092082022</v>
      </c>
      <c r="FM185" s="23">
        <v>0.54905643429231998</v>
      </c>
      <c r="FN185" s="23">
        <v>0.56593440593157396</v>
      </c>
      <c r="FO185" s="23">
        <v>0.5732368766602508</v>
      </c>
      <c r="FP185" s="23">
        <v>0.6130898505460407</v>
      </c>
      <c r="FQ185" s="23">
        <v>0.60235765659922469</v>
      </c>
      <c r="FR185" s="23">
        <v>0.63166568392379852</v>
      </c>
      <c r="FS185" s="307">
        <v>0.60597750338544731</v>
      </c>
      <c r="FT185" s="361">
        <v>0.60560237575201592</v>
      </c>
      <c r="FU185" s="361">
        <v>0.59401713251683286</v>
      </c>
      <c r="FV185" s="361">
        <v>0.60186093451798151</v>
      </c>
      <c r="FW185" s="361">
        <v>0.46558836681466115</v>
      </c>
      <c r="FX185" s="361">
        <f>'EDE''s'!C185</f>
        <v>0.46438590586831296</v>
      </c>
      <c r="FY185" s="414"/>
      <c r="FZ185" s="414"/>
      <c r="GA185" s="414"/>
      <c r="GB185" s="414"/>
      <c r="GC185" s="414"/>
      <c r="GD185" s="414"/>
      <c r="GE185" s="414"/>
      <c r="GF185" s="414"/>
    </row>
    <row r="186" spans="1:188" ht="14.4" x14ac:dyDescent="0.3">
      <c r="A186" s="46"/>
      <c r="B186" s="24"/>
      <c r="C186" s="281"/>
      <c r="D186" s="281"/>
      <c r="E186" s="293" t="s">
        <v>360</v>
      </c>
      <c r="F186" s="281"/>
      <c r="G186" s="281"/>
      <c r="H186" s="281"/>
      <c r="I186" s="293" t="s">
        <v>360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10"/>
      <c r="FL186" s="429"/>
      <c r="FM186" s="429"/>
      <c r="FN186" s="429"/>
      <c r="FO186" s="429"/>
      <c r="FP186" s="429"/>
      <c r="FQ186" s="429"/>
      <c r="FR186" s="429"/>
      <c r="FS186" s="429"/>
      <c r="FT186" s="429"/>
      <c r="FU186" s="429"/>
      <c r="FV186" s="429"/>
      <c r="FW186" s="425"/>
      <c r="FX186" s="425"/>
      <c r="FY186" s="414"/>
      <c r="FZ186" s="414"/>
      <c r="GA186" s="414"/>
      <c r="GB186" s="414"/>
      <c r="GC186" s="414"/>
      <c r="GD186" s="414"/>
      <c r="GE186" s="414"/>
      <c r="GF186" s="414"/>
    </row>
    <row r="187" spans="1:188" ht="13.8" x14ac:dyDescent="0.3">
      <c r="A187" s="46"/>
      <c r="B187" s="42" t="s">
        <v>55</v>
      </c>
      <c r="C187" s="289">
        <v>0.64398596408493891</v>
      </c>
      <c r="D187" s="289">
        <v>0.63960348414708812</v>
      </c>
      <c r="E187" s="286">
        <v>0.43824799378507917</v>
      </c>
      <c r="F187" s="289">
        <v>6.8518700202123391E-3</v>
      </c>
      <c r="G187" s="283"/>
      <c r="H187" s="289">
        <v>0.70171498342001781</v>
      </c>
      <c r="I187" s="286">
        <v>-6.2111499272929693</v>
      </c>
      <c r="J187" s="289">
        <v>-8.8513856395385379E-2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365">
        <v>0.65324033053454844</v>
      </c>
      <c r="FH187" s="365">
        <v>0.64899563268973659</v>
      </c>
      <c r="FI187" s="365">
        <v>0.64833964784914244</v>
      </c>
      <c r="FJ187" s="365">
        <v>0.64398596408493891</v>
      </c>
      <c r="FK187" s="410"/>
      <c r="FL187" s="29"/>
      <c r="FM187" s="29"/>
      <c r="FN187" s="29"/>
      <c r="FO187" s="29"/>
      <c r="FP187" s="29"/>
      <c r="FQ187" s="29"/>
      <c r="FR187" s="29"/>
      <c r="FS187" s="310"/>
      <c r="FT187" s="365"/>
      <c r="FU187" s="365"/>
      <c r="FV187" s="365"/>
      <c r="FW187" s="365"/>
      <c r="FX187" s="365"/>
      <c r="FY187" s="414"/>
      <c r="FZ187" s="414"/>
      <c r="GA187" s="414"/>
      <c r="GB187" s="414"/>
      <c r="GC187" s="414"/>
      <c r="GD187" s="414"/>
      <c r="GE187" s="414"/>
      <c r="GF187" s="414"/>
    </row>
    <row r="188" spans="1:188" ht="13.8" x14ac:dyDescent="0.3">
      <c r="A188" s="46"/>
      <c r="B188" s="21" t="s">
        <v>18</v>
      </c>
      <c r="C188" s="285">
        <v>0.75830889472536989</v>
      </c>
      <c r="D188" s="285">
        <v>0.75145940546565815</v>
      </c>
      <c r="E188" s="288">
        <v>0.68494892597117385</v>
      </c>
      <c r="F188" s="285">
        <v>9.1149158688982063E-3</v>
      </c>
      <c r="G188" s="283"/>
      <c r="H188" s="285">
        <v>0.76888422113960431</v>
      </c>
      <c r="I188" s="288">
        <v>-1.7424815673946159</v>
      </c>
      <c r="J188" s="285">
        <v>-2.2662470102611691E-2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361">
        <v>0.76740303399482201</v>
      </c>
      <c r="FH188" s="361">
        <v>0.76159962010054882</v>
      </c>
      <c r="FI188" s="361">
        <v>0.76616916072988772</v>
      </c>
      <c r="FJ188" s="361">
        <v>0.75830889472536989</v>
      </c>
      <c r="FK188" s="410"/>
      <c r="FL188" s="23"/>
      <c r="FM188" s="23"/>
      <c r="FN188" s="23"/>
      <c r="FO188" s="23"/>
      <c r="FP188" s="23"/>
      <c r="FQ188" s="23"/>
      <c r="FR188" s="23"/>
      <c r="FS188" s="307"/>
      <c r="FT188" s="361"/>
      <c r="FU188" s="361"/>
      <c r="FV188" s="361"/>
      <c r="FW188" s="361"/>
      <c r="FX188" s="361"/>
      <c r="FY188" s="414"/>
      <c r="FZ188" s="414"/>
      <c r="GA188" s="414"/>
      <c r="GB188" s="414"/>
      <c r="GC188" s="414"/>
      <c r="GD188" s="414"/>
      <c r="GE188" s="414"/>
      <c r="GF188" s="414"/>
    </row>
    <row r="189" spans="1:188" ht="13.8" x14ac:dyDescent="0.3">
      <c r="A189" s="46"/>
      <c r="B189" s="21" t="s">
        <v>19</v>
      </c>
      <c r="C189" s="285">
        <v>0.72044533568922597</v>
      </c>
      <c r="D189" s="285">
        <v>0.71582193926433013</v>
      </c>
      <c r="E189" s="288">
        <v>0.46233964248958426</v>
      </c>
      <c r="F189" s="285">
        <v>6.4588638197474561E-3</v>
      </c>
      <c r="G189" s="283"/>
      <c r="H189" s="285">
        <v>0.74263236310676051</v>
      </c>
      <c r="I189" s="288">
        <v>-2.6810423842430375</v>
      </c>
      <c r="J189" s="285">
        <v>-3.6101879172448774E-2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361">
        <v>0.73100648787923073</v>
      </c>
      <c r="FH189" s="361">
        <v>0.72783097697139232</v>
      </c>
      <c r="FI189" s="361">
        <v>0.72293003171811787</v>
      </c>
      <c r="FJ189" s="361">
        <v>0.72044533568922597</v>
      </c>
      <c r="FK189" s="410"/>
      <c r="FL189" s="23"/>
      <c r="FM189" s="23"/>
      <c r="FN189" s="23"/>
      <c r="FO189" s="23"/>
      <c r="FP189" s="23"/>
      <c r="FQ189" s="23"/>
      <c r="FR189" s="23"/>
      <c r="FS189" s="307"/>
      <c r="FT189" s="361"/>
      <c r="FU189" s="361"/>
      <c r="FV189" s="361"/>
      <c r="FW189" s="361"/>
      <c r="FX189" s="361"/>
      <c r="FY189" s="414"/>
      <c r="FZ189" s="414"/>
      <c r="GA189" s="414"/>
      <c r="GB189" s="414"/>
      <c r="GC189" s="414"/>
      <c r="GD189" s="414"/>
      <c r="GE189" s="414"/>
      <c r="GF189" s="414"/>
    </row>
    <row r="190" spans="1:188" ht="13.8" x14ac:dyDescent="0.3">
      <c r="A190" s="46"/>
      <c r="B190" s="21" t="s">
        <v>20</v>
      </c>
      <c r="C190" s="285">
        <v>0.46935157837364683</v>
      </c>
      <c r="D190" s="285">
        <v>0.46736039602353108</v>
      </c>
      <c r="E190" s="288">
        <v>0.199118235011575</v>
      </c>
      <c r="F190" s="285">
        <v>4.2604858414564848E-3</v>
      </c>
      <c r="G190" s="283"/>
      <c r="H190" s="285">
        <v>0.603325925166457</v>
      </c>
      <c r="I190" s="288">
        <v>-13.596552914292593</v>
      </c>
      <c r="J190" s="285">
        <v>-0.22535999775811585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361">
        <v>0.47779031927604382</v>
      </c>
      <c r="FH190" s="361">
        <v>0.47361272336072424</v>
      </c>
      <c r="FI190" s="361">
        <v>0.47257583412520437</v>
      </c>
      <c r="FJ190" s="361">
        <v>0.46935157837364683</v>
      </c>
      <c r="FK190" s="410"/>
      <c r="FL190" s="23"/>
      <c r="FM190" s="23"/>
      <c r="FN190" s="23"/>
      <c r="FO190" s="23"/>
      <c r="FP190" s="23"/>
      <c r="FQ190" s="23"/>
      <c r="FR190" s="23"/>
      <c r="FS190" s="307"/>
      <c r="FT190" s="361"/>
      <c r="FU190" s="361"/>
      <c r="FV190" s="361"/>
      <c r="FW190" s="361"/>
      <c r="FX190" s="361"/>
      <c r="FY190" s="414"/>
      <c r="FZ190" s="414"/>
      <c r="GA190" s="414"/>
      <c r="GB190" s="414"/>
      <c r="GC190" s="414"/>
      <c r="GD190" s="414"/>
      <c r="GE190" s="414"/>
      <c r="GF190" s="414"/>
    </row>
    <row r="191" spans="1:188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10"/>
      <c r="FL191" s="429"/>
      <c r="FM191" s="429"/>
      <c r="FN191" s="429"/>
      <c r="FO191" s="429"/>
      <c r="FP191" s="429"/>
      <c r="FQ191" s="429"/>
      <c r="FR191" s="429"/>
      <c r="FS191" s="429"/>
      <c r="FT191" s="429"/>
      <c r="FU191" s="429"/>
      <c r="FV191" s="429"/>
      <c r="FW191" s="425"/>
      <c r="FX191" s="425"/>
      <c r="FY191" s="414"/>
      <c r="FZ191" s="414"/>
      <c r="GA191" s="414"/>
      <c r="GB191" s="414"/>
      <c r="GC191" s="414"/>
      <c r="GD191" s="414"/>
      <c r="GE191" s="414"/>
      <c r="GF191" s="414"/>
    </row>
    <row r="192" spans="1:188" ht="13.8" x14ac:dyDescent="0.3">
      <c r="A192" s="46"/>
      <c r="B192" s="42" t="s">
        <v>56</v>
      </c>
      <c r="C192" s="291">
        <v>2707647.5454545454</v>
      </c>
      <c r="D192" s="291">
        <v>2616448.6363636362</v>
      </c>
      <c r="E192" s="291">
        <v>91198.909090909176</v>
      </c>
      <c r="F192" s="289">
        <v>3.4855990606281591E-2</v>
      </c>
      <c r="G192" s="287"/>
      <c r="H192" s="291">
        <v>2519823.4545454546</v>
      </c>
      <c r="I192" s="291">
        <v>96625.181818181649</v>
      </c>
      <c r="J192" s="289">
        <v>3.8346012552538784E-2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367">
        <v>2740627</v>
      </c>
      <c r="FH192" s="367">
        <v>2747426</v>
      </c>
      <c r="FI192" s="367">
        <v>2761556</v>
      </c>
      <c r="FJ192" s="367">
        <v>2769075</v>
      </c>
      <c r="FK192" s="410"/>
      <c r="FL192" s="49">
        <v>1341427.3333333333</v>
      </c>
      <c r="FM192" s="49">
        <v>1667769.25</v>
      </c>
      <c r="FN192" s="49">
        <v>1905218.25</v>
      </c>
      <c r="FO192" s="49">
        <v>1870117.75</v>
      </c>
      <c r="FP192" s="49">
        <v>1854185.6666666667</v>
      </c>
      <c r="FQ192" s="49">
        <v>1962583</v>
      </c>
      <c r="FR192" s="49">
        <v>2038592.9166666667</v>
      </c>
      <c r="FS192" s="312">
        <v>2114564.25</v>
      </c>
      <c r="FT192" s="367">
        <v>2192662.9166666665</v>
      </c>
      <c r="FU192" s="367">
        <v>2351746.5833333335</v>
      </c>
      <c r="FV192" s="367">
        <v>2525721.6666666665</v>
      </c>
      <c r="FW192" s="367">
        <v>2619640.8333333335</v>
      </c>
      <c r="FX192" s="367">
        <f>'EDE''s'!C192</f>
        <v>2707647.5454545454</v>
      </c>
      <c r="FY192" s="414"/>
      <c r="FZ192" s="414"/>
      <c r="GA192" s="414"/>
      <c r="GB192" s="414"/>
      <c r="GC192" s="414"/>
      <c r="GD192" s="414"/>
      <c r="GE192" s="414"/>
      <c r="GF192" s="414"/>
    </row>
    <row r="193" spans="1:188" ht="13.8" x14ac:dyDescent="0.3">
      <c r="A193" s="46"/>
      <c r="B193" s="21" t="s">
        <v>18</v>
      </c>
      <c r="C193" s="292">
        <v>1133002</v>
      </c>
      <c r="D193" s="292">
        <v>1071089.0909090908</v>
      </c>
      <c r="E193" s="292">
        <v>61912.909090909176</v>
      </c>
      <c r="F193" s="285">
        <v>5.7803696831941746E-2</v>
      </c>
      <c r="G193" s="284"/>
      <c r="H193" s="292">
        <v>1017968.1818181818</v>
      </c>
      <c r="I193" s="292">
        <v>53120.909090909059</v>
      </c>
      <c r="J193" s="285">
        <v>5.2183270596955586E-2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330">
        <v>1149700</v>
      </c>
      <c r="FH193" s="330">
        <v>1156379</v>
      </c>
      <c r="FI193" s="330">
        <v>1161255</v>
      </c>
      <c r="FJ193" s="330">
        <v>1165656</v>
      </c>
      <c r="FK193" s="410"/>
      <c r="FL193" s="50">
        <v>613665.91666666663</v>
      </c>
      <c r="FM193" s="50">
        <v>675558.66666666663</v>
      </c>
      <c r="FN193" s="50">
        <v>741564.33333333337</v>
      </c>
      <c r="FO193" s="50">
        <v>631327.91666666663</v>
      </c>
      <c r="FP193" s="50">
        <v>703614.91666666663</v>
      </c>
      <c r="FQ193" s="50">
        <v>759978.41666666663</v>
      </c>
      <c r="FR193" s="50">
        <v>805106.83333333337</v>
      </c>
      <c r="FS193" s="313">
        <v>855605.83333333337</v>
      </c>
      <c r="FT193" s="330">
        <v>909604.5</v>
      </c>
      <c r="FU193" s="330">
        <v>965756.41666666663</v>
      </c>
      <c r="FV193" s="330">
        <v>1020912.0833333334</v>
      </c>
      <c r="FW193" s="330">
        <v>1073399.0833333333</v>
      </c>
      <c r="FX193" s="330">
        <f>'EDE''s'!C193</f>
        <v>1133002</v>
      </c>
      <c r="FY193" s="414"/>
      <c r="FZ193" s="414"/>
      <c r="GA193" s="414"/>
      <c r="GB193" s="414"/>
      <c r="GC193" s="414"/>
      <c r="GD193" s="414"/>
      <c r="GE193" s="414"/>
      <c r="GF193" s="414"/>
    </row>
    <row r="194" spans="1:188" ht="13.8" x14ac:dyDescent="0.3">
      <c r="A194" s="46"/>
      <c r="B194" s="21" t="s">
        <v>19</v>
      </c>
      <c r="C194" s="292">
        <v>883578</v>
      </c>
      <c r="D194" s="292">
        <v>864039.09090909094</v>
      </c>
      <c r="E194" s="330">
        <v>19538.909090909059</v>
      </c>
      <c r="F194" s="361">
        <v>2.2613454988884094E-2</v>
      </c>
      <c r="G194" s="284"/>
      <c r="H194" s="292">
        <v>832171.18181818177</v>
      </c>
      <c r="I194" s="330">
        <v>31867.909090909176</v>
      </c>
      <c r="J194" s="361">
        <v>3.8294896275165517E-2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330">
        <v>889618</v>
      </c>
      <c r="FH194" s="330">
        <v>893234</v>
      </c>
      <c r="FI194" s="330">
        <v>895062</v>
      </c>
      <c r="FJ194" s="330">
        <v>898501</v>
      </c>
      <c r="FK194" s="410"/>
      <c r="FL194" s="50">
        <v>382901.75</v>
      </c>
      <c r="FM194" s="50">
        <v>470595.75</v>
      </c>
      <c r="FN194" s="50">
        <v>529243.16666666663</v>
      </c>
      <c r="FO194" s="50">
        <v>526573.41666666663</v>
      </c>
      <c r="FP194" s="50">
        <v>552889.16666666663</v>
      </c>
      <c r="FQ194" s="50">
        <v>585416.41666666663</v>
      </c>
      <c r="FR194" s="50">
        <v>607943.5</v>
      </c>
      <c r="FS194" s="313">
        <v>615937.41666666663</v>
      </c>
      <c r="FT194" s="330">
        <v>636682.25</v>
      </c>
      <c r="FU194" s="330">
        <v>728925.66666666663</v>
      </c>
      <c r="FV194" s="330">
        <v>834381.58333333337</v>
      </c>
      <c r="FW194" s="330">
        <v>864866.83333333337</v>
      </c>
      <c r="FX194" s="330">
        <f>'EDE''s'!C194</f>
        <v>883578</v>
      </c>
      <c r="FY194" s="414"/>
      <c r="FZ194" s="414"/>
      <c r="GA194" s="414"/>
      <c r="GB194" s="414"/>
      <c r="GC194" s="414"/>
      <c r="GD194" s="414"/>
      <c r="GE194" s="414"/>
      <c r="GF194" s="414"/>
    </row>
    <row r="195" spans="1:188" ht="13.8" x14ac:dyDescent="0.3">
      <c r="A195" s="46"/>
      <c r="B195" s="21" t="s">
        <v>20</v>
      </c>
      <c r="C195" s="292">
        <v>691067.54545454541</v>
      </c>
      <c r="D195" s="292">
        <v>681320.45454545459</v>
      </c>
      <c r="E195" s="330">
        <v>9747.0909090908244</v>
      </c>
      <c r="F195" s="361">
        <v>1.4306176842428181E-2</v>
      </c>
      <c r="G195" s="284"/>
      <c r="H195" s="292">
        <v>669684.09090909094</v>
      </c>
      <c r="I195" s="330">
        <v>11636.363636363647</v>
      </c>
      <c r="J195" s="361">
        <v>1.7375899762778257E-2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330">
        <v>701309</v>
      </c>
      <c r="FH195" s="330">
        <v>697813</v>
      </c>
      <c r="FI195" s="330">
        <v>705239</v>
      </c>
      <c r="FJ195" s="330">
        <v>704918</v>
      </c>
      <c r="FK195" s="410"/>
      <c r="FL195" s="50">
        <v>344859.66666666669</v>
      </c>
      <c r="FM195" s="50">
        <v>521614.83333333331</v>
      </c>
      <c r="FN195" s="50">
        <v>634410.75</v>
      </c>
      <c r="FO195" s="50">
        <v>712216.41666666663</v>
      </c>
      <c r="FP195" s="50">
        <v>597681.58333333337</v>
      </c>
      <c r="FQ195" s="50">
        <v>617188.16666666663</v>
      </c>
      <c r="FR195" s="50">
        <v>625542.58333333337</v>
      </c>
      <c r="FS195" s="313">
        <v>643021</v>
      </c>
      <c r="FT195" s="330">
        <v>646376.16666666663</v>
      </c>
      <c r="FU195" s="330">
        <v>657064.5</v>
      </c>
      <c r="FV195" s="330">
        <v>670428</v>
      </c>
      <c r="FW195" s="330">
        <v>681374.91666666663</v>
      </c>
      <c r="FX195" s="330">
        <f>'EDE''s'!C195</f>
        <v>691067.54545454541</v>
      </c>
      <c r="FY195" s="414"/>
      <c r="FZ195" s="414"/>
      <c r="GA195" s="414"/>
      <c r="GB195" s="414"/>
      <c r="GC195" s="414"/>
      <c r="GD195" s="414"/>
      <c r="GE195" s="414"/>
      <c r="GF195" s="414"/>
    </row>
    <row r="196" spans="1:188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10"/>
      <c r="FL196" s="429"/>
      <c r="FM196" s="429"/>
      <c r="FN196" s="429"/>
      <c r="FO196" s="429"/>
      <c r="FP196" s="429"/>
      <c r="FQ196" s="429"/>
      <c r="FR196" s="429"/>
      <c r="FS196" s="429"/>
      <c r="FT196" s="429"/>
      <c r="FU196" s="429"/>
      <c r="FV196" s="429"/>
      <c r="FW196" s="425"/>
      <c r="FX196" s="425"/>
      <c r="FY196" s="414"/>
      <c r="FZ196" s="414"/>
      <c r="GA196" s="414"/>
      <c r="GB196" s="414"/>
      <c r="GC196" s="414"/>
      <c r="GD196" s="414"/>
      <c r="GE196" s="414"/>
      <c r="GF196" s="414"/>
    </row>
    <row r="197" spans="1:188" ht="13.8" x14ac:dyDescent="0.3">
      <c r="A197" s="46"/>
      <c r="B197" s="42" t="s">
        <v>57</v>
      </c>
      <c r="C197" s="291">
        <v>324967.97643097641</v>
      </c>
      <c r="D197" s="291">
        <v>355162.18181818182</v>
      </c>
      <c r="E197" s="291">
        <v>-30194.205387205409</v>
      </c>
      <c r="F197" s="289">
        <v>-8.5015260444206667E-2</v>
      </c>
      <c r="G197" s="287"/>
      <c r="H197" s="291">
        <v>370261.36363636365</v>
      </c>
      <c r="I197" s="291">
        <v>-15099.181818181823</v>
      </c>
      <c r="J197" s="289">
        <v>-4.0779793143663888E-2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367">
        <v>315749</v>
      </c>
      <c r="FH197" s="367">
        <v>315131.66666666669</v>
      </c>
      <c r="FI197" s="367">
        <v>315646.88888888888</v>
      </c>
      <c r="FJ197" s="367">
        <v>315509.18518518517</v>
      </c>
      <c r="FK197" s="410"/>
      <c r="FL197" s="49">
        <v>597.25</v>
      </c>
      <c r="FM197" s="49">
        <v>106063.08333333333</v>
      </c>
      <c r="FN197" s="49">
        <v>190131.41666666666</v>
      </c>
      <c r="FO197" s="49">
        <v>480243.83333333331</v>
      </c>
      <c r="FP197" s="49">
        <v>520621.83333333331</v>
      </c>
      <c r="FQ197" s="49">
        <v>471552.33333333331</v>
      </c>
      <c r="FR197" s="49">
        <v>431056.08333333331</v>
      </c>
      <c r="FS197" s="312">
        <v>409259.58333333331</v>
      </c>
      <c r="FT197" s="367">
        <v>398406.41666666669</v>
      </c>
      <c r="FU197" s="367">
        <v>390621.83333333331</v>
      </c>
      <c r="FV197" s="367">
        <v>369280.83333333331</v>
      </c>
      <c r="FW197" s="367">
        <v>354583.75</v>
      </c>
      <c r="FX197" s="367">
        <f>'EDE''s'!C197</f>
        <v>324967.97643097641</v>
      </c>
      <c r="FY197" s="414"/>
      <c r="FZ197" s="414"/>
      <c r="GA197" s="414"/>
      <c r="GB197" s="414"/>
      <c r="GC197" s="414"/>
      <c r="GD197" s="414"/>
      <c r="GE197" s="414"/>
      <c r="GF197" s="414"/>
    </row>
    <row r="198" spans="1:188" ht="13.8" x14ac:dyDescent="0.3">
      <c r="A198" s="46"/>
      <c r="B198" s="21" t="s">
        <v>18</v>
      </c>
      <c r="C198" s="292">
        <v>141065.29292929292</v>
      </c>
      <c r="D198" s="292">
        <v>141286.72727272726</v>
      </c>
      <c r="E198" s="292">
        <v>-221.43434343434637</v>
      </c>
      <c r="F198" s="285">
        <v>-1.5672692524536245E-3</v>
      </c>
      <c r="G198" s="284"/>
      <c r="H198" s="292">
        <v>146132.18181818182</v>
      </c>
      <c r="I198" s="292">
        <v>-4845.4545454545587</v>
      </c>
      <c r="J198" s="285">
        <v>-3.3158025050794702E-2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330">
        <v>141014</v>
      </c>
      <c r="FH198" s="330">
        <v>140976</v>
      </c>
      <c r="FI198" s="330">
        <v>141002.66666666666</v>
      </c>
      <c r="FJ198" s="330">
        <v>140997.55555555553</v>
      </c>
      <c r="FK198" s="410"/>
      <c r="FL198" s="50">
        <v>150.75</v>
      </c>
      <c r="FM198" s="50">
        <v>15639.416666666666</v>
      </c>
      <c r="FN198" s="50">
        <v>43926.5</v>
      </c>
      <c r="FO198" s="50">
        <v>155529.75</v>
      </c>
      <c r="FP198" s="50">
        <v>171429.58333333334</v>
      </c>
      <c r="FQ198" s="50">
        <v>177340</v>
      </c>
      <c r="FR198" s="50">
        <v>168702.41666666666</v>
      </c>
      <c r="FS198" s="313">
        <v>165083.25</v>
      </c>
      <c r="FT198" s="330">
        <v>158227.91666666666</v>
      </c>
      <c r="FU198" s="330">
        <v>152204.16666666666</v>
      </c>
      <c r="FV198" s="330">
        <v>145717.08333333334</v>
      </c>
      <c r="FW198" s="330">
        <v>141285.75</v>
      </c>
      <c r="FX198" s="330">
        <f>'EDE''s'!C198</f>
        <v>141065.29292929292</v>
      </c>
      <c r="FY198" s="414"/>
      <c r="FZ198" s="414"/>
      <c r="GA198" s="414"/>
      <c r="GB198" s="414"/>
      <c r="GC198" s="414"/>
      <c r="GD198" s="414"/>
      <c r="GE198" s="414"/>
      <c r="GF198" s="414"/>
    </row>
    <row r="199" spans="1:188" ht="13.8" x14ac:dyDescent="0.3">
      <c r="A199" s="46"/>
      <c r="B199" s="21" t="s">
        <v>19</v>
      </c>
      <c r="C199" s="292">
        <v>86142.02693602693</v>
      </c>
      <c r="D199" s="292">
        <v>110620.09090909091</v>
      </c>
      <c r="E199" s="330">
        <v>-24478.063973063981</v>
      </c>
      <c r="F199" s="285">
        <v>-0.22128045431801702</v>
      </c>
      <c r="G199" s="284"/>
      <c r="H199" s="292">
        <v>114369.63636363637</v>
      </c>
      <c r="I199" s="330">
        <v>-3749.5454545454559</v>
      </c>
      <c r="J199" s="285">
        <v>-3.2784448510650488E-2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330">
        <v>79770</v>
      </c>
      <c r="FH199" s="330">
        <v>79282.666666666672</v>
      </c>
      <c r="FI199" s="330">
        <v>79651.555555555562</v>
      </c>
      <c r="FJ199" s="330">
        <v>79568.074074074088</v>
      </c>
      <c r="FK199" s="410"/>
      <c r="FL199" s="50">
        <v>125.16666666666667</v>
      </c>
      <c r="FM199" s="50">
        <v>25173</v>
      </c>
      <c r="FN199" s="50">
        <v>51565.75</v>
      </c>
      <c r="FO199" s="50">
        <v>152993.16666666666</v>
      </c>
      <c r="FP199" s="50">
        <v>165199.16666666666</v>
      </c>
      <c r="FQ199" s="50">
        <v>126484.25</v>
      </c>
      <c r="FR199" s="50">
        <v>115563.91666666667</v>
      </c>
      <c r="FS199" s="313">
        <v>109584.41666666667</v>
      </c>
      <c r="FT199" s="330">
        <v>113849.08333333333</v>
      </c>
      <c r="FU199" s="330">
        <v>119986.83333333333</v>
      </c>
      <c r="FV199" s="330">
        <v>114200.5</v>
      </c>
      <c r="FW199" s="330">
        <v>110149.5</v>
      </c>
      <c r="FX199" s="330">
        <f>'EDE''s'!C199</f>
        <v>86142.02693602693</v>
      </c>
      <c r="FY199" s="414"/>
      <c r="FZ199" s="414"/>
      <c r="GA199" s="414"/>
      <c r="GB199" s="414"/>
      <c r="GC199" s="414"/>
      <c r="GD199" s="414"/>
      <c r="GE199" s="414"/>
      <c r="GF199" s="414"/>
    </row>
    <row r="200" spans="1:188" ht="13.8" x14ac:dyDescent="0.3">
      <c r="A200" s="46"/>
      <c r="B200" s="21" t="s">
        <v>20</v>
      </c>
      <c r="C200" s="292">
        <v>97760.656565656565</v>
      </c>
      <c r="D200" s="292">
        <v>103255.36363636363</v>
      </c>
      <c r="E200" s="330">
        <v>-5494.707070707067</v>
      </c>
      <c r="F200" s="285">
        <v>-5.3214737493520251E-2</v>
      </c>
      <c r="G200" s="284"/>
      <c r="H200" s="292">
        <v>109759.54545454546</v>
      </c>
      <c r="I200" s="330">
        <v>-6504.1818181818235</v>
      </c>
      <c r="J200" s="285">
        <v>-5.9258461678628124E-2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330">
        <v>94965</v>
      </c>
      <c r="FH200" s="330">
        <v>94873</v>
      </c>
      <c r="FI200" s="330">
        <v>94992.666666666672</v>
      </c>
      <c r="FJ200" s="330">
        <v>94943.555555555562</v>
      </c>
      <c r="FK200" s="410"/>
      <c r="FL200" s="50">
        <v>321.33333333333331</v>
      </c>
      <c r="FM200" s="50">
        <v>65250.666666666664</v>
      </c>
      <c r="FN200" s="50">
        <v>94639.166666666672</v>
      </c>
      <c r="FO200" s="50">
        <v>171720.91666666666</v>
      </c>
      <c r="FP200" s="50">
        <v>183993.08333333334</v>
      </c>
      <c r="FQ200" s="50">
        <v>167728.08333333334</v>
      </c>
      <c r="FR200" s="50">
        <v>146789.75</v>
      </c>
      <c r="FS200" s="313">
        <v>134591.91666666666</v>
      </c>
      <c r="FT200" s="330">
        <v>126329.41666666667</v>
      </c>
      <c r="FU200" s="330">
        <v>118430.83333333333</v>
      </c>
      <c r="FV200" s="330">
        <v>109363.25</v>
      </c>
      <c r="FW200" s="330">
        <v>103148.5</v>
      </c>
      <c r="FX200" s="330">
        <f>'EDE''s'!C200</f>
        <v>97760.656565656565</v>
      </c>
      <c r="FY200" s="414"/>
      <c r="FZ200" s="414"/>
      <c r="GA200" s="414"/>
      <c r="GB200" s="414"/>
      <c r="GC200" s="414"/>
      <c r="GD200" s="414"/>
      <c r="GE200" s="414"/>
      <c r="GF200" s="414"/>
    </row>
    <row r="201" spans="1:188" ht="14.4" x14ac:dyDescent="0.3">
      <c r="A201" s="46"/>
      <c r="B201" s="24"/>
      <c r="C201" s="281"/>
      <c r="D201" s="281"/>
      <c r="E201" s="293" t="s">
        <v>360</v>
      </c>
      <c r="F201" s="282"/>
      <c r="G201" s="281"/>
      <c r="H201" s="281"/>
      <c r="I201" s="293" t="s">
        <v>360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10"/>
      <c r="FL201" s="429"/>
      <c r="FM201" s="429"/>
      <c r="FN201" s="429"/>
      <c r="FO201" s="429"/>
      <c r="FP201" s="429"/>
      <c r="FQ201" s="429"/>
      <c r="FR201" s="429"/>
      <c r="FS201" s="429"/>
      <c r="FT201" s="429"/>
      <c r="FU201" s="429"/>
      <c r="FV201" s="429"/>
      <c r="FW201" s="425"/>
      <c r="FX201" s="425"/>
      <c r="FY201" s="414"/>
      <c r="FZ201" s="414"/>
      <c r="GA201" s="414"/>
      <c r="GB201" s="414"/>
      <c r="GC201" s="414"/>
      <c r="GD201" s="414"/>
      <c r="GE201" s="414"/>
      <c r="GF201" s="414"/>
    </row>
    <row r="202" spans="1:188" ht="13.8" x14ac:dyDescent="0.3">
      <c r="A202" s="46"/>
      <c r="B202" s="42" t="s">
        <v>58</v>
      </c>
      <c r="C202" s="365">
        <v>0.98338270045712095</v>
      </c>
      <c r="D202" s="289">
        <v>0.96651194626204873</v>
      </c>
      <c r="E202" s="286">
        <v>1.6870754195072224</v>
      </c>
      <c r="F202" s="289">
        <v>1.7455298157792336E-2</v>
      </c>
      <c r="G202" s="287"/>
      <c r="H202" s="289">
        <v>0.89573084683844895</v>
      </c>
      <c r="I202" s="286">
        <v>7.078109942359978</v>
      </c>
      <c r="J202" s="289">
        <v>7.9020500045775058E-2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365">
        <v>0.97294021433517852</v>
      </c>
      <c r="FH202" s="365">
        <v>0.96501058562888042</v>
      </c>
      <c r="FI202" s="365">
        <v>0.98616557675340066</v>
      </c>
      <c r="FJ202" s="365">
        <v>0.98670558632239169</v>
      </c>
      <c r="FK202" s="410"/>
      <c r="FL202" s="29">
        <v>0.78110097176062887</v>
      </c>
      <c r="FM202" s="29">
        <v>0.80111131267720281</v>
      </c>
      <c r="FN202" s="29">
        <v>0.79387962703298964</v>
      </c>
      <c r="FO202" s="29">
        <v>0.81717805662301568</v>
      </c>
      <c r="FP202" s="29">
        <v>0.82881450458970141</v>
      </c>
      <c r="FQ202" s="29">
        <v>0.83640589841054591</v>
      </c>
      <c r="FR202" s="29">
        <v>0.84353757530613749</v>
      </c>
      <c r="FS202" s="365">
        <v>0.87806744788554214</v>
      </c>
      <c r="FT202" s="365">
        <v>0.87595130287623002</v>
      </c>
      <c r="FU202" s="365">
        <v>0.89560339862360483</v>
      </c>
      <c r="FV202" s="365">
        <v>0.89727861696520428</v>
      </c>
      <c r="FW202" s="365">
        <v>0.96850131171991893</v>
      </c>
      <c r="FX202" s="365">
        <f>'EDE''s'!C202</f>
        <v>0.98338270045712095</v>
      </c>
      <c r="FY202" s="414"/>
      <c r="FZ202" s="414"/>
      <c r="GA202" s="414"/>
      <c r="GB202" s="414"/>
      <c r="GC202" s="414"/>
      <c r="GD202" s="414"/>
      <c r="GE202" s="414"/>
      <c r="GF202" s="414"/>
    </row>
    <row r="203" spans="1:188" ht="13.8" x14ac:dyDescent="0.3">
      <c r="A203" s="46"/>
      <c r="B203" s="21" t="s">
        <v>18</v>
      </c>
      <c r="C203" s="361">
        <v>0.98463636363636375</v>
      </c>
      <c r="D203" s="285">
        <v>0.9742400996264009</v>
      </c>
      <c r="E203" s="288">
        <v>1.0396264009962852</v>
      </c>
      <c r="F203" s="285">
        <v>1.0671151817657255E-2</v>
      </c>
      <c r="G203" s="284"/>
      <c r="H203" s="285">
        <v>0.92378206724782064</v>
      </c>
      <c r="I203" s="288">
        <v>5.045803237858026</v>
      </c>
      <c r="J203" s="285">
        <v>5.4621142981165945E-2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367</v>
      </c>
      <c r="AZ203" s="23" t="s">
        <v>368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361">
        <v>0.97199999999999998</v>
      </c>
      <c r="FH203" s="361">
        <v>0.94499999999999995</v>
      </c>
      <c r="FI203" s="361">
        <v>0.99</v>
      </c>
      <c r="FJ203" s="361">
        <v>0.99099999999999999</v>
      </c>
      <c r="FK203" s="410"/>
      <c r="FL203" s="23">
        <v>0.81098268143283869</v>
      </c>
      <c r="FM203" s="23">
        <v>0.81298394359028203</v>
      </c>
      <c r="FN203" s="23">
        <v>0.81389824532891974</v>
      </c>
      <c r="FO203" s="23">
        <v>0.82379357405913978</v>
      </c>
      <c r="FP203" s="23">
        <v>0.8518</v>
      </c>
      <c r="FQ203" s="23">
        <v>0.86391666666666656</v>
      </c>
      <c r="FR203" s="23">
        <v>0.85952328767123287</v>
      </c>
      <c r="FS203" s="361">
        <v>0.87200932378251916</v>
      </c>
      <c r="FT203" s="361">
        <v>0.8906205300917871</v>
      </c>
      <c r="FU203" s="361">
        <v>0.93658595890410934</v>
      </c>
      <c r="FV203" s="361">
        <v>0.92462671232876703</v>
      </c>
      <c r="FW203" s="361">
        <v>0.9757200913242009</v>
      </c>
      <c r="FX203" s="361">
        <f>'EDE''s'!C203</f>
        <v>0.98463636363636375</v>
      </c>
      <c r="FY203" s="414"/>
      <c r="FZ203" s="414"/>
      <c r="GA203" s="414"/>
      <c r="GB203" s="414"/>
      <c r="GC203" s="414"/>
      <c r="GD203" s="414"/>
      <c r="GE203" s="414"/>
      <c r="GF203" s="414"/>
    </row>
    <row r="204" spans="1:188" ht="13.8" x14ac:dyDescent="0.3">
      <c r="A204" s="46"/>
      <c r="B204" s="21" t="s">
        <v>19</v>
      </c>
      <c r="C204" s="285">
        <v>0.98611710512341044</v>
      </c>
      <c r="D204" s="285">
        <v>0.96652491176291233</v>
      </c>
      <c r="E204" s="364">
        <v>1.9592193360498111</v>
      </c>
      <c r="F204" s="285">
        <v>2.0270758799959477E-2</v>
      </c>
      <c r="G204" s="284"/>
      <c r="H204" s="285">
        <v>0.91157098264379965</v>
      </c>
      <c r="I204" s="364">
        <v>5.4953929119112672</v>
      </c>
      <c r="J204" s="285">
        <v>6.0284860055254921E-2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361">
        <v>0.98119438228954547</v>
      </c>
      <c r="FH204" s="361">
        <v>0.98153677637981829</v>
      </c>
      <c r="FI204" s="361">
        <v>0.98780195568936502</v>
      </c>
      <c r="FJ204" s="361">
        <v>0.98765901042916304</v>
      </c>
      <c r="FK204" s="410"/>
      <c r="FL204" s="23">
        <v>0.76788118109553427</v>
      </c>
      <c r="FM204" s="23">
        <v>0.76529500962607688</v>
      </c>
      <c r="FN204" s="23">
        <v>0.76343350761065698</v>
      </c>
      <c r="FO204" s="23">
        <v>0.80392160815309754</v>
      </c>
      <c r="FP204" s="23">
        <v>0.82027955456666657</v>
      </c>
      <c r="FQ204" s="23">
        <v>0.82564492811288803</v>
      </c>
      <c r="FR204" s="23">
        <v>0.84050219862102493</v>
      </c>
      <c r="FS204" s="361">
        <v>0.89166892198562797</v>
      </c>
      <c r="FT204" s="361">
        <v>0.88783454269161666</v>
      </c>
      <c r="FU204" s="361">
        <v>0.89730958904109615</v>
      </c>
      <c r="FV204" s="361">
        <v>0.91316978299677432</v>
      </c>
      <c r="FW204" s="361">
        <v>0.96859880051114999</v>
      </c>
      <c r="FX204" s="361">
        <f>'EDE''s'!C204</f>
        <v>0.98611710512341044</v>
      </c>
      <c r="FY204" s="414"/>
      <c r="FZ204" s="414"/>
      <c r="GA204" s="414"/>
      <c r="GB204" s="414"/>
      <c r="GC204" s="414"/>
      <c r="GD204" s="414"/>
      <c r="GE204" s="414"/>
      <c r="GF204" s="414"/>
    </row>
    <row r="205" spans="1:188" ht="13.8" x14ac:dyDescent="0.3">
      <c r="A205" s="46"/>
      <c r="B205" s="21" t="s">
        <v>20</v>
      </c>
      <c r="C205" s="285">
        <v>0.9793946326115891</v>
      </c>
      <c r="D205" s="285">
        <v>0.95877082739683273</v>
      </c>
      <c r="E205" s="364">
        <v>2.0623805214756374</v>
      </c>
      <c r="F205" s="285">
        <v>2.1510672441663933E-2</v>
      </c>
      <c r="G205" s="284"/>
      <c r="H205" s="285">
        <v>0.85183949062372644</v>
      </c>
      <c r="I205" s="364">
        <v>10.693133677310628</v>
      </c>
      <c r="J205" s="285">
        <v>0.12552991255994714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361">
        <v>0.96562626071599011</v>
      </c>
      <c r="FH205" s="361">
        <v>0.96849498050682303</v>
      </c>
      <c r="FI205" s="361">
        <v>0.98069477457083709</v>
      </c>
      <c r="FJ205" s="361">
        <v>0.98145774853801204</v>
      </c>
      <c r="FK205" s="410"/>
      <c r="FL205" s="23">
        <v>0.76443905275351398</v>
      </c>
      <c r="FM205" s="23">
        <v>0.82505498481524941</v>
      </c>
      <c r="FN205" s="23">
        <v>0.80430712815939243</v>
      </c>
      <c r="FO205" s="23">
        <v>0.82125000000000015</v>
      </c>
      <c r="FP205" s="23">
        <v>0.81436395920243765</v>
      </c>
      <c r="FQ205" s="23">
        <v>0.81965610045208293</v>
      </c>
      <c r="FR205" s="23">
        <v>0.83058723962615488</v>
      </c>
      <c r="FS205" s="361">
        <v>0.87052409788847962</v>
      </c>
      <c r="FT205" s="361">
        <v>0.84939883584528675</v>
      </c>
      <c r="FU205" s="361">
        <v>0.852914647925609</v>
      </c>
      <c r="FV205" s="361">
        <v>0.85403935557007105</v>
      </c>
      <c r="FW205" s="361">
        <v>0.96118504332440569</v>
      </c>
      <c r="FX205" s="361">
        <f>'EDE''s'!C205</f>
        <v>0.9793946326115891</v>
      </c>
      <c r="FY205" s="414"/>
      <c r="FZ205" s="414"/>
      <c r="GA205" s="414"/>
      <c r="GB205" s="414"/>
      <c r="GC205" s="414"/>
      <c r="GD205" s="414"/>
      <c r="GE205" s="414"/>
      <c r="GF205" s="414"/>
    </row>
    <row r="206" spans="1:188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10"/>
      <c r="FL206" s="429"/>
      <c r="FM206" s="429"/>
      <c r="FN206" s="429"/>
      <c r="FO206" s="429"/>
      <c r="FP206" s="429"/>
      <c r="FQ206" s="429"/>
      <c r="FR206" s="429"/>
      <c r="FS206" s="429"/>
      <c r="FT206" s="429"/>
      <c r="FU206" s="429"/>
      <c r="FV206" s="429"/>
      <c r="FW206" s="425"/>
      <c r="FX206" s="425"/>
      <c r="FY206" s="414"/>
      <c r="FZ206" s="414"/>
      <c r="GA206" s="414"/>
      <c r="GB206" s="414"/>
      <c r="GC206" s="414"/>
      <c r="GD206" s="414"/>
      <c r="GE206" s="414"/>
      <c r="GF206" s="414"/>
    </row>
    <row r="207" spans="1:188" ht="13.8" x14ac:dyDescent="0.3">
      <c r="A207" s="46"/>
      <c r="B207" s="42" t="s">
        <v>59</v>
      </c>
      <c r="C207" s="291">
        <v>8144.818181818182</v>
      </c>
      <c r="D207" s="291">
        <v>8699.545454545454</v>
      </c>
      <c r="E207" s="291">
        <v>-554.72727272727207</v>
      </c>
      <c r="F207" s="289">
        <v>-6.3765086995140746E-2</v>
      </c>
      <c r="G207" s="287"/>
      <c r="H207" s="291">
        <v>8642.363636363636</v>
      </c>
      <c r="I207" s="291">
        <v>57.181818181818016</v>
      </c>
      <c r="J207" s="289">
        <v>6.6164559358761095E-3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367">
        <v>7719</v>
      </c>
      <c r="FH207" s="367">
        <v>7615</v>
      </c>
      <c r="FI207" s="367">
        <v>7500</v>
      </c>
      <c r="FJ207" s="367">
        <v>7506</v>
      </c>
      <c r="FK207" s="410"/>
      <c r="FL207" s="49">
        <v>5478.666666666667</v>
      </c>
      <c r="FM207" s="49">
        <v>5632.583333333333</v>
      </c>
      <c r="FN207" s="49">
        <v>5620.083333333333</v>
      </c>
      <c r="FO207" s="49">
        <v>6301</v>
      </c>
      <c r="FP207" s="49">
        <v>6785.666666666667</v>
      </c>
      <c r="FQ207" s="49">
        <v>7232.833333333333</v>
      </c>
      <c r="FR207" s="49">
        <v>7739.333333333333</v>
      </c>
      <c r="FS207" s="312">
        <v>7843.916666666667</v>
      </c>
      <c r="FT207" s="367">
        <v>8079.083333333333</v>
      </c>
      <c r="FU207" s="367">
        <v>8300.5833333333339</v>
      </c>
      <c r="FV207" s="367">
        <v>8650.5</v>
      </c>
      <c r="FW207" s="367">
        <v>8707.5833333333339</v>
      </c>
      <c r="FX207" s="367">
        <f>'EDE''s'!C207</f>
        <v>8144.818181818182</v>
      </c>
      <c r="FY207" s="414"/>
      <c r="FZ207" s="414"/>
      <c r="GA207" s="414"/>
      <c r="GB207" s="414"/>
      <c r="GC207" s="414"/>
      <c r="GD207" s="414"/>
      <c r="GE207" s="414"/>
      <c r="GF207" s="414"/>
    </row>
    <row r="208" spans="1:188" ht="13.8" x14ac:dyDescent="0.3">
      <c r="A208" s="46"/>
      <c r="B208" s="21" t="s">
        <v>18</v>
      </c>
      <c r="C208" s="292">
        <v>2922.7272727272725</v>
      </c>
      <c r="D208" s="292">
        <v>2895.818181818182</v>
      </c>
      <c r="E208" s="292">
        <v>26.909090909090537</v>
      </c>
      <c r="F208" s="285">
        <v>9.2923965593016862E-3</v>
      </c>
      <c r="G208" s="284"/>
      <c r="H208" s="292">
        <v>2909.818181818182</v>
      </c>
      <c r="I208" s="292">
        <v>-14</v>
      </c>
      <c r="J208" s="285">
        <v>-4.8112971757060729E-3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330">
        <v>2747</v>
      </c>
      <c r="FH208" s="330">
        <v>2662</v>
      </c>
      <c r="FI208" s="330">
        <v>2652</v>
      </c>
      <c r="FJ208" s="330">
        <v>2651</v>
      </c>
      <c r="FK208" s="410"/>
      <c r="FL208" s="50">
        <v>2301.5</v>
      </c>
      <c r="FM208" s="50">
        <v>2164.3333333333335</v>
      </c>
      <c r="FN208" s="50">
        <v>2278.5833333333335</v>
      </c>
      <c r="FO208" s="50">
        <v>2604.4166666666665</v>
      </c>
      <c r="FP208" s="50">
        <v>2761.0833333333335</v>
      </c>
      <c r="FQ208" s="50">
        <v>2865.1666666666665</v>
      </c>
      <c r="FR208" s="50">
        <v>2977.9166666666665</v>
      </c>
      <c r="FS208" s="313">
        <v>2970.3333333333335</v>
      </c>
      <c r="FT208" s="330">
        <v>2933.0833333333335</v>
      </c>
      <c r="FU208" s="330">
        <v>2903.0833333333335</v>
      </c>
      <c r="FV208" s="330">
        <v>2910.1666666666665</v>
      </c>
      <c r="FW208" s="330">
        <v>2915.75</v>
      </c>
      <c r="FX208" s="330">
        <f>'EDE''s'!C208</f>
        <v>2922.7272727272725</v>
      </c>
      <c r="FY208" s="414"/>
      <c r="FZ208" s="414"/>
      <c r="GA208" s="414"/>
      <c r="GB208" s="414"/>
      <c r="GC208" s="414"/>
      <c r="GD208" s="414"/>
      <c r="GE208" s="414"/>
      <c r="GF208" s="414"/>
    </row>
    <row r="209" spans="1:188" ht="13.8" x14ac:dyDescent="0.3">
      <c r="A209" s="46"/>
      <c r="B209" s="21" t="s">
        <v>19</v>
      </c>
      <c r="C209" s="292">
        <v>3050.2727272727275</v>
      </c>
      <c r="D209" s="292">
        <v>3282.6363636363635</v>
      </c>
      <c r="E209" s="330">
        <v>-232.36363636363603</v>
      </c>
      <c r="F209" s="361">
        <v>-7.0785676701099351E-2</v>
      </c>
      <c r="G209" s="284"/>
      <c r="H209" s="292">
        <v>3255.3636363636365</v>
      </c>
      <c r="I209" s="330">
        <v>27.272727272727025</v>
      </c>
      <c r="J209" s="285">
        <v>8.377782121812876E-3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330">
        <v>2995</v>
      </c>
      <c r="FH209" s="330">
        <v>2993</v>
      </c>
      <c r="FI209" s="330">
        <v>2898</v>
      </c>
      <c r="FJ209" s="330">
        <v>2895</v>
      </c>
      <c r="FK209" s="410"/>
      <c r="FL209" s="50">
        <v>1947.0833333333333</v>
      </c>
      <c r="FM209" s="50">
        <v>1982.9166666666667</v>
      </c>
      <c r="FN209" s="50">
        <v>1665.5</v>
      </c>
      <c r="FO209" s="50">
        <v>1755.5833333333333</v>
      </c>
      <c r="FP209" s="50">
        <v>1901</v>
      </c>
      <c r="FQ209" s="50">
        <v>2122.9166666666665</v>
      </c>
      <c r="FR209" s="50">
        <v>2386.1666666666665</v>
      </c>
      <c r="FS209" s="313">
        <v>2531.5833333333335</v>
      </c>
      <c r="FT209" s="330">
        <v>2838.75</v>
      </c>
      <c r="FU209" s="330">
        <v>3074.75</v>
      </c>
      <c r="FV209" s="330">
        <v>3257.5833333333335</v>
      </c>
      <c r="FW209" s="330">
        <v>3279.5833333333335</v>
      </c>
      <c r="FX209" s="330">
        <f>'EDE''s'!C209</f>
        <v>3050.2727272727275</v>
      </c>
      <c r="FY209" s="414"/>
      <c r="FZ209" s="414"/>
      <c r="GA209" s="414"/>
      <c r="GB209" s="414"/>
      <c r="GC209" s="414"/>
      <c r="GD209" s="414"/>
      <c r="GE209" s="414"/>
      <c r="GF209" s="414"/>
    </row>
    <row r="210" spans="1:188" ht="13.8" x14ac:dyDescent="0.3">
      <c r="A210" s="46"/>
      <c r="B210" s="21" t="s">
        <v>20</v>
      </c>
      <c r="C210" s="292">
        <v>2171.818181818182</v>
      </c>
      <c r="D210" s="292">
        <v>2521.090909090909</v>
      </c>
      <c r="E210" s="330">
        <v>-349.27272727272702</v>
      </c>
      <c r="F210" s="361">
        <v>-0.13854031443819406</v>
      </c>
      <c r="G210" s="284"/>
      <c r="H210" s="292">
        <v>2477.181818181818</v>
      </c>
      <c r="I210" s="330">
        <v>43.909090909090992</v>
      </c>
      <c r="J210" s="285">
        <v>1.7725421116371279E-2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330">
        <v>1977</v>
      </c>
      <c r="FH210" s="330">
        <v>1960</v>
      </c>
      <c r="FI210" s="330">
        <v>1950</v>
      </c>
      <c r="FJ210" s="330">
        <v>1960</v>
      </c>
      <c r="FK210" s="410"/>
      <c r="FL210" s="50">
        <v>1230.0833333333333</v>
      </c>
      <c r="FM210" s="50">
        <v>1485.3333333333333</v>
      </c>
      <c r="FN210" s="50">
        <v>1676</v>
      </c>
      <c r="FO210" s="50">
        <v>1941</v>
      </c>
      <c r="FP210" s="50">
        <v>2123.5833333333335</v>
      </c>
      <c r="FQ210" s="50">
        <v>2244.75</v>
      </c>
      <c r="FR210" s="50">
        <v>2375.25</v>
      </c>
      <c r="FS210" s="313">
        <v>2342</v>
      </c>
      <c r="FT210" s="330">
        <v>2307.25</v>
      </c>
      <c r="FU210" s="330">
        <v>2322.75</v>
      </c>
      <c r="FV210" s="330">
        <v>2482.75</v>
      </c>
      <c r="FW210" s="330">
        <v>2512.25</v>
      </c>
      <c r="FX210" s="330">
        <f>'EDE''s'!C210</f>
        <v>2171.818181818182</v>
      </c>
      <c r="FY210" s="414"/>
      <c r="FZ210" s="414"/>
      <c r="GA210" s="414"/>
      <c r="GB210" s="414"/>
      <c r="GC210" s="414"/>
      <c r="GD210" s="414"/>
      <c r="GE210" s="414"/>
      <c r="GF210" s="414"/>
    </row>
    <row r="211" spans="1:188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J211" s="410"/>
      <c r="FK211" s="410"/>
      <c r="FR211" s="3"/>
      <c r="FS211" s="3"/>
      <c r="FT211" s="360"/>
      <c r="FU211" s="360"/>
      <c r="FV211" s="360"/>
      <c r="FW211" s="360"/>
      <c r="FX211" s="414"/>
      <c r="FY211" s="414"/>
      <c r="FZ211" s="414"/>
      <c r="GA211" s="414"/>
      <c r="GB211" s="414"/>
      <c r="GC211" s="414"/>
      <c r="GD211" s="414"/>
      <c r="GE211" s="411"/>
    </row>
    <row r="212" spans="1:188" ht="12" customHeight="1" x14ac:dyDescent="0.3">
      <c r="FR212" s="3"/>
      <c r="FS212" s="3"/>
    </row>
    <row r="213" spans="1:188" ht="12" customHeight="1" x14ac:dyDescent="0.3">
      <c r="FR213" s="3"/>
      <c r="FS213" s="3"/>
    </row>
    <row r="214" spans="1:188" ht="12" customHeight="1" x14ac:dyDescent="0.3">
      <c r="FR214" s="3"/>
      <c r="FS214" s="3"/>
    </row>
    <row r="215" spans="1:188" ht="12" customHeight="1" x14ac:dyDescent="0.3">
      <c r="FR215" s="3"/>
      <c r="FS215" s="3"/>
    </row>
    <row r="216" spans="1:188" ht="12" customHeight="1" x14ac:dyDescent="0.3">
      <c r="C216" s="407"/>
      <c r="D216" s="408"/>
      <c r="FR216" s="3"/>
      <c r="FS216" s="3"/>
    </row>
    <row r="218" spans="1:188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L6:FS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Q242"/>
  <sheetViews>
    <sheetView showGridLines="0" zoomScale="80" zoomScaleNormal="80" zoomScaleSheetLayoutView="85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FJ22" sqref="FJ22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6" width="9.6640625" style="358" customWidth="1"/>
    <col min="167" max="167" width="9.5546875" style="358" customWidth="1"/>
    <col min="168" max="175" width="9.33203125" style="1" customWidth="1"/>
    <col min="176" max="176" width="11.6640625" style="1" customWidth="1"/>
    <col min="177" max="180" width="11.6640625" style="358" customWidth="1"/>
    <col min="181" max="187" width="11" style="1" bestFit="1" customWidth="1"/>
    <col min="188" max="188" width="13.33203125" style="1" customWidth="1"/>
    <col min="189" max="16384" width="11.44140625" style="1"/>
  </cols>
  <sheetData>
    <row r="1" spans="1:199" ht="13.8" x14ac:dyDescent="0.3">
      <c r="A1" s="2"/>
    </row>
    <row r="2" spans="1:199" ht="15.6" x14ac:dyDescent="0.3">
      <c r="B2" s="471" t="s">
        <v>322</v>
      </c>
    </row>
    <row r="3" spans="1:199" ht="13.8" x14ac:dyDescent="0.3">
      <c r="B3" s="5" t="s">
        <v>323</v>
      </c>
    </row>
    <row r="4" spans="1:199" ht="13.8" x14ac:dyDescent="0.3">
      <c r="B4" s="5" t="s">
        <v>1</v>
      </c>
    </row>
    <row r="5" spans="1:199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199" ht="12.75" customHeight="1" x14ac:dyDescent="0.3">
      <c r="A6" s="46"/>
      <c r="B6" s="10"/>
      <c r="C6" s="486" t="s">
        <v>333</v>
      </c>
      <c r="D6" s="486" t="s">
        <v>334</v>
      </c>
      <c r="E6" s="485" t="s">
        <v>335</v>
      </c>
      <c r="F6" s="485"/>
      <c r="G6" s="356"/>
      <c r="H6" s="486" t="s">
        <v>336</v>
      </c>
      <c r="I6" s="485" t="s">
        <v>337</v>
      </c>
      <c r="J6" s="485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483" t="s">
        <v>2</v>
      </c>
      <c r="FM6" s="483"/>
      <c r="FN6" s="483"/>
      <c r="FO6" s="483"/>
      <c r="FP6" s="483"/>
      <c r="FQ6" s="483"/>
      <c r="FR6" s="483"/>
      <c r="FS6" s="483"/>
    </row>
    <row r="7" spans="1:199" s="3" customFormat="1" ht="13.8" x14ac:dyDescent="0.3">
      <c r="A7" s="11"/>
      <c r="B7" s="12"/>
      <c r="C7" s="486"/>
      <c r="D7" s="486"/>
      <c r="E7" s="355" t="s">
        <v>3</v>
      </c>
      <c r="F7" s="355" t="s">
        <v>4</v>
      </c>
      <c r="G7" s="357"/>
      <c r="H7" s="487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63"/>
      <c r="FL7" s="16">
        <v>2009</v>
      </c>
      <c r="FM7" s="16">
        <v>2010</v>
      </c>
      <c r="FN7" s="16" t="s">
        <v>297</v>
      </c>
      <c r="FO7" s="16" t="s">
        <v>298</v>
      </c>
      <c r="FP7" s="16" t="s">
        <v>299</v>
      </c>
      <c r="FQ7" s="16" t="s">
        <v>300</v>
      </c>
      <c r="FR7" s="16" t="s">
        <v>301</v>
      </c>
      <c r="FS7" s="305" t="s">
        <v>302</v>
      </c>
      <c r="FT7" s="334" t="s">
        <v>303</v>
      </c>
      <c r="FU7" s="334" t="s">
        <v>304</v>
      </c>
      <c r="FV7" s="334" t="s">
        <v>305</v>
      </c>
      <c r="FW7" s="334" t="s">
        <v>306</v>
      </c>
      <c r="FX7" s="334" t="s">
        <v>307</v>
      </c>
    </row>
    <row r="8" spans="1:199" s="3" customFormat="1" ht="13.5" customHeight="1" x14ac:dyDescent="0.3">
      <c r="A8" s="17"/>
      <c r="B8" s="27" t="s">
        <v>60</v>
      </c>
      <c r="C8" s="362">
        <v>4918.8017054460724</v>
      </c>
      <c r="D8" s="362">
        <v>3597.9848118843106</v>
      </c>
      <c r="E8" s="319">
        <v>1320.8168935617618</v>
      </c>
      <c r="F8" s="365">
        <v>0.36709907423706806</v>
      </c>
      <c r="G8" s="320"/>
      <c r="H8" s="319">
        <v>3090.1175443507896</v>
      </c>
      <c r="I8" s="319">
        <v>507.86726753352104</v>
      </c>
      <c r="J8" s="365">
        <v>0.16435208701428869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2">
        <v>435.55386473219477</v>
      </c>
      <c r="FH8" s="362">
        <v>318.79062154777478</v>
      </c>
      <c r="FI8" s="362">
        <v>283.01165925910715</v>
      </c>
      <c r="FJ8" s="362">
        <v>234.17262517123714</v>
      </c>
      <c r="FK8" s="363"/>
      <c r="FL8" s="28">
        <v>2142.4100432921091</v>
      </c>
      <c r="FM8" s="28">
        <v>2310.9874354511198</v>
      </c>
      <c r="FN8" s="28">
        <v>2767.8938051852488</v>
      </c>
      <c r="FO8" s="28">
        <v>2572.8931367736491</v>
      </c>
      <c r="FP8" s="28">
        <v>1696.2328661400154</v>
      </c>
      <c r="FQ8" s="28">
        <v>1639.2831818605148</v>
      </c>
      <c r="FR8" s="28">
        <v>1011.0170435477129</v>
      </c>
      <c r="FS8" s="335">
        <v>2035.2533222674488</v>
      </c>
      <c r="FT8" s="362">
        <v>2360.5017615298207</v>
      </c>
      <c r="FU8" s="362">
        <v>2772.2157619739978</v>
      </c>
      <c r="FV8" s="362">
        <v>3311.2009834261617</v>
      </c>
      <c r="FW8" s="362">
        <v>4117.2085395757995</v>
      </c>
      <c r="FX8" s="362">
        <v>4918.8017054460724</v>
      </c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</row>
    <row r="9" spans="1:199" s="3" customFormat="1" ht="13.8" hidden="1" x14ac:dyDescent="0.3">
      <c r="A9" s="17"/>
      <c r="B9" s="21" t="s">
        <v>290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4">
        <v>0</v>
      </c>
      <c r="FH9" s="364">
        <v>0</v>
      </c>
      <c r="FI9" s="364">
        <v>0</v>
      </c>
      <c r="FJ9" s="364">
        <v>0</v>
      </c>
      <c r="FK9" s="363"/>
      <c r="FL9" s="22">
        <v>763.72260395500007</v>
      </c>
      <c r="FM9" s="22">
        <v>769.58369999999991</v>
      </c>
      <c r="FN9" s="22">
        <v>905.48299999999995</v>
      </c>
      <c r="FO9" s="22">
        <v>602.6993100000002</v>
      </c>
      <c r="FP9" s="22">
        <v>514.53589700000009</v>
      </c>
      <c r="FQ9" s="22">
        <v>283.20897741199997</v>
      </c>
      <c r="FR9" s="22">
        <v>0</v>
      </c>
      <c r="FS9" s="336">
        <v>196.86025975399997</v>
      </c>
      <c r="FT9" s="364">
        <v>0</v>
      </c>
      <c r="FU9" s="364">
        <v>0</v>
      </c>
      <c r="FV9" s="364">
        <v>0</v>
      </c>
      <c r="FW9" s="364">
        <v>0</v>
      </c>
      <c r="FX9" s="364">
        <v>0</v>
      </c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</row>
    <row r="10" spans="1:199" s="3" customFormat="1" ht="13.8" x14ac:dyDescent="0.3">
      <c r="A10" s="17"/>
      <c r="B10" s="21" t="s">
        <v>192</v>
      </c>
      <c r="C10" s="364">
        <v>1446.5697498594786</v>
      </c>
      <c r="D10" s="364">
        <v>353.93475873094815</v>
      </c>
      <c r="E10" s="323">
        <v>1092.6349911285306</v>
      </c>
      <c r="F10" s="361">
        <v>3.0871084689343067</v>
      </c>
      <c r="G10" s="419"/>
      <c r="H10" s="323">
        <v>957.04304143649449</v>
      </c>
      <c r="I10" s="323">
        <v>-603.10828270554634</v>
      </c>
      <c r="J10" s="361">
        <v>-0.63017884942802349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4">
        <v>125.07357267994776</v>
      </c>
      <c r="FH10" s="364">
        <v>151.56328764224901</v>
      </c>
      <c r="FI10" s="364">
        <v>117.337064317857</v>
      </c>
      <c r="FJ10" s="364">
        <v>77.097231468583999</v>
      </c>
      <c r="FK10" s="363"/>
      <c r="FL10" s="22">
        <v>474.01359800089995</v>
      </c>
      <c r="FM10" s="22">
        <v>166.42680999999996</v>
      </c>
      <c r="FN10" s="22">
        <v>521.12619999999993</v>
      </c>
      <c r="FO10" s="22">
        <v>565.85527000000002</v>
      </c>
      <c r="FP10" s="22">
        <v>292.69776999999999</v>
      </c>
      <c r="FQ10" s="22">
        <v>112.29208292000007</v>
      </c>
      <c r="FR10" s="22">
        <v>1003.6454779679549</v>
      </c>
      <c r="FS10" s="336">
        <v>1054.8013937270991</v>
      </c>
      <c r="FT10" s="364">
        <v>484.06574000000001</v>
      </c>
      <c r="FU10" s="364">
        <v>815.10420505679735</v>
      </c>
      <c r="FV10" s="364">
        <v>969.38933143649444</v>
      </c>
      <c r="FW10" s="364">
        <v>522.05408873094814</v>
      </c>
      <c r="FX10" s="364">
        <v>1446.5697498594786</v>
      </c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</row>
    <row r="11" spans="1:199" s="360" customFormat="1" ht="13.8" x14ac:dyDescent="0.3">
      <c r="A11" s="17"/>
      <c r="B11" s="21" t="s">
        <v>205</v>
      </c>
      <c r="C11" s="364">
        <v>1677.5880441110805</v>
      </c>
      <c r="D11" s="364">
        <v>1644.1513027313504</v>
      </c>
      <c r="E11" s="364">
        <v>33.436741379730165</v>
      </c>
      <c r="F11" s="361">
        <v>2.0336778813594161E-2</v>
      </c>
      <c r="G11" s="419"/>
      <c r="H11" s="364">
        <v>1588.3023903914259</v>
      </c>
      <c r="I11" s="364">
        <v>55.848912339924482</v>
      </c>
      <c r="J11" s="361">
        <v>3.5162644517685901E-2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4">
        <v>169.81847625971497</v>
      </c>
      <c r="FH11" s="364">
        <v>167.22733390552577</v>
      </c>
      <c r="FI11" s="364">
        <v>165.67459494125015</v>
      </c>
      <c r="FJ11" s="364">
        <v>157.07539370265314</v>
      </c>
      <c r="FK11" s="363"/>
      <c r="FL11" s="364">
        <v>0</v>
      </c>
      <c r="FM11" s="364">
        <v>0</v>
      </c>
      <c r="FN11" s="364">
        <v>0</v>
      </c>
      <c r="FO11" s="364">
        <v>0</v>
      </c>
      <c r="FP11" s="364">
        <v>0</v>
      </c>
      <c r="FQ11" s="364">
        <v>0</v>
      </c>
      <c r="FR11" s="364">
        <v>0</v>
      </c>
      <c r="FS11" s="364">
        <v>558.58687247965054</v>
      </c>
      <c r="FT11" s="364">
        <v>1649.8970067593445</v>
      </c>
      <c r="FU11" s="364">
        <v>1680.2439367978486</v>
      </c>
      <c r="FV11" s="364">
        <v>1728.7279659228709</v>
      </c>
      <c r="FW11" s="364">
        <v>1788.3915010272995</v>
      </c>
      <c r="FX11" s="364">
        <v>1677.5880441110805</v>
      </c>
    </row>
    <row r="12" spans="1:199" s="360" customFormat="1" ht="13.8" hidden="1" x14ac:dyDescent="0.3">
      <c r="A12" s="17"/>
      <c r="B12" s="21" t="s">
        <v>279</v>
      </c>
      <c r="C12" s="364">
        <v>130.11449857159806</v>
      </c>
      <c r="D12" s="364">
        <v>166.67341429174962</v>
      </c>
      <c r="E12" s="364">
        <v>-36.55891572015156</v>
      </c>
      <c r="F12" s="361">
        <v>-0.21934461398959434</v>
      </c>
      <c r="G12" s="419"/>
      <c r="H12" s="364">
        <v>168.47054724351287</v>
      </c>
      <c r="I12" s="364">
        <v>-1.7971329517632455</v>
      </c>
      <c r="J12" s="361">
        <v>-1.0667342043862483E-2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4">
        <v>0</v>
      </c>
      <c r="FH12" s="364">
        <v>0</v>
      </c>
      <c r="FI12" s="364">
        <v>0</v>
      </c>
      <c r="FJ12" s="364">
        <v>0</v>
      </c>
      <c r="FK12" s="363"/>
      <c r="FL12" s="364">
        <v>0</v>
      </c>
      <c r="FM12" s="364">
        <v>0</v>
      </c>
      <c r="FN12" s="364">
        <v>0</v>
      </c>
      <c r="FO12" s="364">
        <v>0</v>
      </c>
      <c r="FP12" s="364">
        <v>0</v>
      </c>
      <c r="FQ12" s="364">
        <v>0</v>
      </c>
      <c r="FR12" s="364">
        <v>0</v>
      </c>
      <c r="FS12" s="364">
        <v>70.619270559861121</v>
      </c>
      <c r="FT12" s="364">
        <v>179.27472883899912</v>
      </c>
      <c r="FU12" s="364">
        <v>221.76780646082437</v>
      </c>
      <c r="FV12" s="364">
        <v>183.24954086929145</v>
      </c>
      <c r="FW12" s="364">
        <v>178.17255473770643</v>
      </c>
      <c r="FX12" s="364">
        <v>130.11449857159806</v>
      </c>
    </row>
    <row r="13" spans="1:199" s="360" customFormat="1" ht="13.8" hidden="1" x14ac:dyDescent="0.3">
      <c r="A13" s="17"/>
      <c r="B13" s="21" t="s">
        <v>279</v>
      </c>
      <c r="C13" s="364">
        <v>87.57647016370548</v>
      </c>
      <c r="D13" s="364">
        <v>117.30079694510228</v>
      </c>
      <c r="E13" s="364">
        <v>-29.724326781396798</v>
      </c>
      <c r="F13" s="361">
        <v>-0.25340259875052701</v>
      </c>
      <c r="G13" s="419"/>
      <c r="H13" s="364">
        <v>108.33561800026541</v>
      </c>
      <c r="I13" s="364">
        <v>8.9651789448368646</v>
      </c>
      <c r="J13" s="361">
        <v>8.2753752739149006E-2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4">
        <v>0</v>
      </c>
      <c r="FH13" s="364">
        <v>0</v>
      </c>
      <c r="FI13" s="364">
        <v>0</v>
      </c>
      <c r="FJ13" s="364">
        <v>0</v>
      </c>
      <c r="FK13" s="363"/>
      <c r="FL13" s="364">
        <v>0</v>
      </c>
      <c r="FM13" s="364">
        <v>0</v>
      </c>
      <c r="FN13" s="364">
        <v>0</v>
      </c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v>0</v>
      </c>
      <c r="FU13" s="364">
        <v>0</v>
      </c>
      <c r="FV13" s="364">
        <v>119.18250718766653</v>
      </c>
      <c r="FW13" s="364">
        <v>124.92488148204028</v>
      </c>
      <c r="FX13" s="364">
        <v>87.57647016370548</v>
      </c>
    </row>
    <row r="14" spans="1:199" s="360" customFormat="1" ht="13.8" hidden="1" x14ac:dyDescent="0.3">
      <c r="A14" s="17"/>
      <c r="B14" s="21" t="s">
        <v>272</v>
      </c>
      <c r="C14" s="364">
        <v>32.103337143614439</v>
      </c>
      <c r="D14" s="364">
        <v>44.247210847056998</v>
      </c>
      <c r="E14" s="364">
        <v>-12.143873703442559</v>
      </c>
      <c r="F14" s="361">
        <v>-0.27445512318095144</v>
      </c>
      <c r="G14" s="419"/>
      <c r="H14" s="364">
        <v>46.74555801644</v>
      </c>
      <c r="I14" s="364">
        <v>-2.4983471693830026</v>
      </c>
      <c r="J14" s="361">
        <v>-5.344565933953245E-2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4">
        <v>3.925576529807441</v>
      </c>
      <c r="FH14" s="364">
        <v>0</v>
      </c>
      <c r="FI14" s="364">
        <v>0</v>
      </c>
      <c r="FJ14" s="364">
        <v>0</v>
      </c>
      <c r="FK14" s="363"/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15.606057227842996</v>
      </c>
      <c r="FT14" s="364">
        <v>47.264285931476998</v>
      </c>
      <c r="FU14" s="364">
        <v>48.962650049023999</v>
      </c>
      <c r="FV14" s="364">
        <v>50.481610018946</v>
      </c>
      <c r="FW14" s="364">
        <v>47.866520823102</v>
      </c>
      <c r="FX14" s="364">
        <v>32.103337143614439</v>
      </c>
    </row>
    <row r="15" spans="1:199" s="360" customFormat="1" ht="13.8" hidden="1" x14ac:dyDescent="0.3">
      <c r="A15" s="17"/>
      <c r="B15" s="21" t="s">
        <v>280</v>
      </c>
      <c r="C15" s="364">
        <v>56.703824815077986</v>
      </c>
      <c r="D15" s="364">
        <v>93.898333319211986</v>
      </c>
      <c r="E15" s="364">
        <v>-37.194508504133999</v>
      </c>
      <c r="F15" s="361">
        <v>-0.39611468265032401</v>
      </c>
      <c r="G15" s="419"/>
      <c r="H15" s="364">
        <v>95.691342218119999</v>
      </c>
      <c r="I15" s="364">
        <v>-1.7930088989080133</v>
      </c>
      <c r="J15" s="361">
        <v>-1.8737420307273014E-2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4">
        <v>0</v>
      </c>
      <c r="FH15" s="364">
        <v>0</v>
      </c>
      <c r="FI15" s="364">
        <v>0</v>
      </c>
      <c r="FJ15" s="364">
        <v>0</v>
      </c>
      <c r="FK15" s="363"/>
      <c r="FL15" s="364">
        <v>0</v>
      </c>
      <c r="FM15" s="364">
        <v>0</v>
      </c>
      <c r="FN15" s="364">
        <v>0</v>
      </c>
      <c r="FO15" s="364">
        <v>0</v>
      </c>
      <c r="FP15" s="364">
        <v>0</v>
      </c>
      <c r="FQ15" s="364">
        <v>0</v>
      </c>
      <c r="FR15" s="364">
        <v>0</v>
      </c>
      <c r="FS15" s="364">
        <v>0</v>
      </c>
      <c r="FT15" s="364">
        <v>0</v>
      </c>
      <c r="FU15" s="364">
        <v>5.2442064545029998</v>
      </c>
      <c r="FV15" s="364">
        <v>103.04931067987999</v>
      </c>
      <c r="FW15" s="364">
        <v>100.958410311308</v>
      </c>
      <c r="FX15" s="364">
        <v>56.703824815077986</v>
      </c>
    </row>
    <row r="16" spans="1:199" s="360" customFormat="1" ht="13.8" hidden="1" x14ac:dyDescent="0.3">
      <c r="A16" s="17"/>
      <c r="B16" s="21" t="s">
        <v>281</v>
      </c>
      <c r="C16" s="364">
        <v>107.06323102270802</v>
      </c>
      <c r="D16" s="364">
        <v>148.61772359609</v>
      </c>
      <c r="E16" s="364">
        <v>-41.554492573381978</v>
      </c>
      <c r="F16" s="361">
        <v>-0.27960657428933489</v>
      </c>
      <c r="G16" s="419"/>
      <c r="H16" s="364">
        <v>70.792971124831993</v>
      </c>
      <c r="I16" s="364">
        <v>77.824752471258009</v>
      </c>
      <c r="J16" s="361">
        <v>1.0993288067261169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4">
        <v>0</v>
      </c>
      <c r="FH16" s="364">
        <v>0</v>
      </c>
      <c r="FI16" s="364">
        <v>0</v>
      </c>
      <c r="FJ16" s="364">
        <v>0</v>
      </c>
      <c r="FK16" s="363"/>
      <c r="FL16" s="364">
        <v>0</v>
      </c>
      <c r="FM16" s="364">
        <v>0</v>
      </c>
      <c r="FN16" s="364">
        <v>0</v>
      </c>
      <c r="FO16" s="364">
        <v>0</v>
      </c>
      <c r="FP16" s="364">
        <v>0</v>
      </c>
      <c r="FQ16" s="364">
        <v>0</v>
      </c>
      <c r="FR16" s="364">
        <v>0</v>
      </c>
      <c r="FS16" s="364">
        <v>0</v>
      </c>
      <c r="FT16" s="364">
        <v>0</v>
      </c>
      <c r="FU16" s="364">
        <v>0</v>
      </c>
      <c r="FV16" s="364">
        <v>80.756670455065986</v>
      </c>
      <c r="FW16" s="364">
        <v>157.942097837978</v>
      </c>
      <c r="FX16" s="364">
        <v>107.06323102270802</v>
      </c>
    </row>
    <row r="17" spans="1:199" s="360" customFormat="1" ht="13.8" hidden="1" x14ac:dyDescent="0.3">
      <c r="A17" s="17"/>
      <c r="B17" s="21" t="s">
        <v>278</v>
      </c>
      <c r="C17" s="364">
        <v>117.49329487982601</v>
      </c>
      <c r="D17" s="364">
        <v>165.97113513108698</v>
      </c>
      <c r="E17" s="364">
        <v>-48.477840251260972</v>
      </c>
      <c r="F17" s="361">
        <v>-0.29208597153337718</v>
      </c>
      <c r="G17" s="419"/>
      <c r="H17" s="364">
        <v>38.529076261416996</v>
      </c>
      <c r="I17" s="364">
        <v>127.44205886966998</v>
      </c>
      <c r="J17" s="361">
        <v>3.3076852921410529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4">
        <v>0</v>
      </c>
      <c r="FH17" s="364">
        <v>0</v>
      </c>
      <c r="FI17" s="364">
        <v>0</v>
      </c>
      <c r="FJ17" s="364">
        <v>0</v>
      </c>
      <c r="FK17" s="363"/>
      <c r="FL17" s="364">
        <v>0</v>
      </c>
      <c r="FM17" s="364">
        <v>0</v>
      </c>
      <c r="FN17" s="364">
        <v>0</v>
      </c>
      <c r="FO17" s="364">
        <v>0</v>
      </c>
      <c r="FP17" s="364">
        <v>0</v>
      </c>
      <c r="FQ17" s="364">
        <v>0</v>
      </c>
      <c r="FR17" s="364">
        <v>0</v>
      </c>
      <c r="FS17" s="364">
        <v>0</v>
      </c>
      <c r="FT17" s="364">
        <v>0</v>
      </c>
      <c r="FU17" s="364">
        <v>0</v>
      </c>
      <c r="FV17" s="364">
        <v>51.607245461197984</v>
      </c>
      <c r="FW17" s="364">
        <v>178.76390665675498</v>
      </c>
      <c r="FX17" s="364">
        <v>117.49329487982601</v>
      </c>
    </row>
    <row r="18" spans="1:199" s="360" customFormat="1" ht="13.8" hidden="1" x14ac:dyDescent="0.3">
      <c r="A18" s="17"/>
      <c r="B18" s="21" t="s">
        <v>282</v>
      </c>
      <c r="C18" s="364">
        <v>74.234596944839211</v>
      </c>
      <c r="D18" s="364">
        <v>96.867482684409154</v>
      </c>
      <c r="E18" s="364">
        <v>-22.632885739569943</v>
      </c>
      <c r="F18" s="361">
        <v>-0.23364791891317221</v>
      </c>
      <c r="G18" s="419"/>
      <c r="H18" s="364">
        <v>16.206999658282548</v>
      </c>
      <c r="I18" s="364">
        <v>80.660483026126599</v>
      </c>
      <c r="J18" s="361">
        <v>4.9768917583030401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4">
        <v>0</v>
      </c>
      <c r="FH18" s="364">
        <v>0</v>
      </c>
      <c r="FI18" s="364">
        <v>0</v>
      </c>
      <c r="FJ18" s="364">
        <v>0</v>
      </c>
      <c r="FK18" s="363"/>
      <c r="FL18" s="364">
        <v>0</v>
      </c>
      <c r="FM18" s="364">
        <v>0</v>
      </c>
      <c r="FN18" s="364">
        <v>0</v>
      </c>
      <c r="FO18" s="364">
        <v>0</v>
      </c>
      <c r="FP18" s="364">
        <v>0</v>
      </c>
      <c r="FQ18" s="364">
        <v>0</v>
      </c>
      <c r="FR18" s="364">
        <v>0</v>
      </c>
      <c r="FS18" s="364">
        <v>0</v>
      </c>
      <c r="FT18" s="364">
        <v>0</v>
      </c>
      <c r="FU18" s="364">
        <v>0</v>
      </c>
      <c r="FV18" s="364">
        <v>24.756801394748571</v>
      </c>
      <c r="FW18" s="364">
        <v>103.22034030119002</v>
      </c>
      <c r="FX18" s="364">
        <v>74.234596944839211</v>
      </c>
    </row>
    <row r="19" spans="1:199" s="360" customFormat="1" ht="13.8" hidden="1" x14ac:dyDescent="0.3">
      <c r="A19" s="17"/>
      <c r="B19" s="21" t="s">
        <v>287</v>
      </c>
      <c r="C19" s="364">
        <v>54.147960920000017</v>
      </c>
      <c r="D19" s="364">
        <v>77.14193527603878</v>
      </c>
      <c r="E19" s="364">
        <v>-22.993974356038763</v>
      </c>
      <c r="F19" s="361">
        <v>-0.29807359996555555</v>
      </c>
      <c r="G19" s="364"/>
      <c r="H19" s="364">
        <v>0</v>
      </c>
      <c r="I19" s="364">
        <v>77.14193527603878</v>
      </c>
      <c r="J19" s="361">
        <v>0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4">
        <v>0</v>
      </c>
      <c r="FH19" s="364">
        <v>0</v>
      </c>
      <c r="FI19" s="364">
        <v>0</v>
      </c>
      <c r="FJ19" s="364">
        <v>0</v>
      </c>
      <c r="FK19" s="363"/>
      <c r="FL19" s="364">
        <v>0</v>
      </c>
      <c r="FM19" s="364">
        <v>0</v>
      </c>
      <c r="FN19" s="364">
        <v>0</v>
      </c>
      <c r="FO19" s="364">
        <v>0</v>
      </c>
      <c r="FP19" s="364">
        <v>0</v>
      </c>
      <c r="FQ19" s="364">
        <v>0</v>
      </c>
      <c r="FR19" s="364">
        <v>0</v>
      </c>
      <c r="FS19" s="364">
        <v>0</v>
      </c>
      <c r="FT19" s="364">
        <v>0</v>
      </c>
      <c r="FU19" s="364">
        <v>0</v>
      </c>
      <c r="FV19" s="364">
        <v>0</v>
      </c>
      <c r="FW19" s="364">
        <v>84.724982595038782</v>
      </c>
      <c r="FX19" s="364">
        <v>54.147960920000017</v>
      </c>
    </row>
    <row r="20" spans="1:199" s="360" customFormat="1" ht="13.8" hidden="1" x14ac:dyDescent="0.3">
      <c r="A20" s="17"/>
      <c r="B20" s="21" t="s">
        <v>291</v>
      </c>
      <c r="C20" s="364">
        <v>35.384143348999999</v>
      </c>
      <c r="D20" s="364">
        <v>43.991279726000002</v>
      </c>
      <c r="E20" s="364">
        <v>-8.6071363770000033</v>
      </c>
      <c r="F20" s="361">
        <v>-0.19565551242449897</v>
      </c>
      <c r="G20" s="419"/>
      <c r="H20" s="364">
        <v>0</v>
      </c>
      <c r="I20" s="364">
        <v>43.991279726000002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4">
        <v>0</v>
      </c>
      <c r="FH20" s="364">
        <v>0</v>
      </c>
      <c r="FI20" s="364">
        <v>0</v>
      </c>
      <c r="FJ20" s="364">
        <v>0</v>
      </c>
      <c r="FK20" s="363"/>
      <c r="FL20" s="364">
        <v>0</v>
      </c>
      <c r="FM20" s="364">
        <v>0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48.663885599000004</v>
      </c>
      <c r="FX20" s="364">
        <v>35.384143348999999</v>
      </c>
    </row>
    <row r="21" spans="1:199" s="360" customFormat="1" ht="13.8" hidden="1" x14ac:dyDescent="0.3">
      <c r="A21" s="17"/>
      <c r="B21" s="21" t="s">
        <v>292</v>
      </c>
      <c r="C21" s="364">
        <v>119.018989721</v>
      </c>
      <c r="D21" s="364">
        <v>107.65959794499994</v>
      </c>
      <c r="E21" s="364">
        <v>11.359391776000052</v>
      </c>
      <c r="F21" s="361">
        <v>0.10551211404117657</v>
      </c>
      <c r="G21" s="364"/>
      <c r="H21" s="364">
        <v>0</v>
      </c>
      <c r="I21" s="364">
        <v>107.65959794499994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4">
        <v>0</v>
      </c>
      <c r="FH21" s="364">
        <v>0</v>
      </c>
      <c r="FI21" s="364">
        <v>0</v>
      </c>
      <c r="FJ21" s="364">
        <v>0</v>
      </c>
      <c r="FK21" s="363"/>
      <c r="FL21" s="364">
        <v>0</v>
      </c>
      <c r="FM21" s="364">
        <v>0</v>
      </c>
      <c r="FN21" s="364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0</v>
      </c>
      <c r="FV21" s="364">
        <v>0</v>
      </c>
      <c r="FW21" s="364">
        <v>118.81291661699994</v>
      </c>
      <c r="FX21" s="364">
        <v>119.018989721</v>
      </c>
    </row>
    <row r="22" spans="1:199" s="360" customFormat="1" ht="13.8" x14ac:dyDescent="0.3">
      <c r="A22" s="17"/>
      <c r="B22" s="21" t="s">
        <v>293</v>
      </c>
      <c r="C22" s="364">
        <v>813.84034753136916</v>
      </c>
      <c r="D22" s="364">
        <v>1062.3689097617457</v>
      </c>
      <c r="E22" s="364">
        <v>-248.52856223037656</v>
      </c>
      <c r="F22" s="361">
        <v>-0.23393809810013483</v>
      </c>
      <c r="G22" s="364"/>
      <c r="H22" s="364">
        <v>544.77211252286986</v>
      </c>
      <c r="I22" s="364">
        <v>517.59679723887587</v>
      </c>
      <c r="J22" s="361">
        <v>0.95011617764693646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4">
        <v>3.925576529807441</v>
      </c>
      <c r="FH22" s="364">
        <v>0</v>
      </c>
      <c r="FI22" s="364">
        <v>0</v>
      </c>
      <c r="FJ22" s="364">
        <v>0</v>
      </c>
      <c r="FK22" s="363"/>
      <c r="FL22" s="364">
        <v>0</v>
      </c>
      <c r="FM22" s="364">
        <v>0</v>
      </c>
      <c r="FN22" s="364">
        <v>0</v>
      </c>
      <c r="FO22" s="364">
        <v>0</v>
      </c>
      <c r="FP22" s="364">
        <v>0</v>
      </c>
      <c r="FQ22" s="364">
        <v>0</v>
      </c>
      <c r="FR22" s="364">
        <v>0</v>
      </c>
      <c r="FS22" s="364">
        <v>86.225327787704117</v>
      </c>
      <c r="FT22" s="364">
        <v>226.53901477047609</v>
      </c>
      <c r="FU22" s="364">
        <v>275.97466296435141</v>
      </c>
      <c r="FV22" s="364">
        <v>613.08368606679653</v>
      </c>
      <c r="FW22" s="364">
        <v>1144.0504969611184</v>
      </c>
      <c r="FX22" s="364">
        <v>813.84034753136916</v>
      </c>
    </row>
    <row r="23" spans="1:199" s="360" customFormat="1" ht="13.8" x14ac:dyDescent="0.3">
      <c r="A23" s="17"/>
      <c r="B23" s="21" t="s">
        <v>294</v>
      </c>
      <c r="C23" s="364">
        <v>980.80356394414366</v>
      </c>
      <c r="D23" s="364">
        <v>537.52984066026636</v>
      </c>
      <c r="E23" s="364">
        <v>443.2737232838773</v>
      </c>
      <c r="F23" s="361">
        <v>0.82464951664709252</v>
      </c>
      <c r="G23" s="364"/>
      <c r="H23" s="364">
        <v>0</v>
      </c>
      <c r="I23" s="364">
        <v>537.52984066026636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4">
        <v>136.73623926272461</v>
      </c>
      <c r="FH23" s="364">
        <v>0</v>
      </c>
      <c r="FI23" s="364">
        <v>0</v>
      </c>
      <c r="FJ23" s="364">
        <v>0</v>
      </c>
      <c r="FK23" s="363"/>
      <c r="FL23" s="364">
        <v>0</v>
      </c>
      <c r="FM23" s="364">
        <v>0</v>
      </c>
      <c r="FN23" s="364">
        <v>0</v>
      </c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v>0</v>
      </c>
      <c r="FU23" s="364">
        <v>0</v>
      </c>
      <c r="FV23" s="364">
        <v>0</v>
      </c>
      <c r="FW23" s="364">
        <v>662.7124528564334</v>
      </c>
      <c r="FX23" s="364">
        <v>980.80356394414366</v>
      </c>
    </row>
    <row r="24" spans="1:199" s="360" customFormat="1" ht="13.8" hidden="1" x14ac:dyDescent="0.3">
      <c r="A24" s="17"/>
      <c r="B24" s="21" t="s">
        <v>112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3"/>
      <c r="FL24" s="364">
        <v>488.55761492948091</v>
      </c>
      <c r="FM24" s="364">
        <v>917.27099422388937</v>
      </c>
      <c r="FN24" s="364">
        <v>1241.8934669682365</v>
      </c>
      <c r="FO24" s="364">
        <v>1353.9553311991301</v>
      </c>
      <c r="FP24" s="364">
        <v>0</v>
      </c>
      <c r="FQ24" s="364">
        <v>0</v>
      </c>
      <c r="FR24" s="364">
        <v>0</v>
      </c>
      <c r="FS24" s="364">
        <v>0</v>
      </c>
      <c r="FT24" s="364">
        <v>0</v>
      </c>
      <c r="FU24" s="364">
        <v>0</v>
      </c>
      <c r="FV24" s="364">
        <v>0</v>
      </c>
      <c r="FW24" s="364">
        <v>0</v>
      </c>
      <c r="FX24" s="364">
        <v>0</v>
      </c>
    </row>
    <row r="25" spans="1:199" s="3" customFormat="1" ht="13.8" hidden="1" x14ac:dyDescent="0.3">
      <c r="A25" s="17"/>
      <c r="B25" s="21" t="s">
        <v>295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4">
        <v>0</v>
      </c>
      <c r="FH25" s="364">
        <v>0</v>
      </c>
      <c r="FI25" s="364">
        <v>0</v>
      </c>
      <c r="FJ25" s="364">
        <v>0</v>
      </c>
      <c r="FK25" s="363"/>
      <c r="FL25" s="364">
        <v>416.11622640672834</v>
      </c>
      <c r="FM25" s="364">
        <v>422.35153379356166</v>
      </c>
      <c r="FN25" s="364">
        <v>0</v>
      </c>
      <c r="FO25" s="364">
        <v>0</v>
      </c>
      <c r="FP25" s="364">
        <v>0</v>
      </c>
      <c r="FQ25" s="364">
        <v>0</v>
      </c>
      <c r="FR25" s="364">
        <v>0</v>
      </c>
      <c r="FS25" s="364">
        <v>0</v>
      </c>
      <c r="FT25" s="364">
        <v>0</v>
      </c>
      <c r="FU25" s="364">
        <v>0</v>
      </c>
      <c r="FV25" s="364">
        <v>0</v>
      </c>
      <c r="FW25" s="364">
        <v>0</v>
      </c>
      <c r="FX25" s="364">
        <v>0</v>
      </c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</row>
    <row r="26" spans="1:199" s="3" customFormat="1" ht="13.8" hidden="1" x14ac:dyDescent="0.3">
      <c r="A26" s="17"/>
      <c r="B26" s="21" t="s">
        <v>296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4">
        <v>0</v>
      </c>
      <c r="FH26" s="364">
        <v>0</v>
      </c>
      <c r="FI26" s="364">
        <v>0</v>
      </c>
      <c r="FJ26" s="364">
        <v>0</v>
      </c>
      <c r="FK26" s="363"/>
      <c r="FL26" s="364">
        <v>0</v>
      </c>
      <c r="FM26" s="364">
        <v>7.7188370000000006</v>
      </c>
      <c r="FN26" s="364">
        <v>7.821274411000001</v>
      </c>
      <c r="FO26" s="364">
        <v>9.6226198329999981</v>
      </c>
      <c r="FP26" s="364">
        <v>9.2220969999999998</v>
      </c>
      <c r="FQ26" s="364">
        <v>8.7085847799999954</v>
      </c>
      <c r="FR26" s="364">
        <v>7.3715655797580011</v>
      </c>
      <c r="FS26" s="364">
        <v>9.5216528460000021</v>
      </c>
      <c r="FT26" s="364">
        <v>0</v>
      </c>
      <c r="FU26" s="364">
        <v>0</v>
      </c>
      <c r="FV26" s="364">
        <v>0</v>
      </c>
      <c r="FW26" s="364">
        <v>0</v>
      </c>
      <c r="FX26" s="364">
        <v>0</v>
      </c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  <c r="GQ26" s="360"/>
    </row>
    <row r="27" spans="1:199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4">
        <v>0</v>
      </c>
      <c r="FH27" s="364">
        <v>0</v>
      </c>
      <c r="FI27" s="364">
        <v>0</v>
      </c>
      <c r="FJ27" s="364">
        <v>0</v>
      </c>
      <c r="FK27" s="363"/>
      <c r="FL27" s="364">
        <v>0</v>
      </c>
      <c r="FM27" s="364">
        <v>27.635560433668893</v>
      </c>
      <c r="FN27" s="364">
        <v>91.569863806012307</v>
      </c>
      <c r="FO27" s="364">
        <v>40.760605741518901</v>
      </c>
      <c r="FP27" s="364">
        <v>879.77710214001536</v>
      </c>
      <c r="FQ27" s="364">
        <v>1235.0735367485147</v>
      </c>
      <c r="FR27" s="364">
        <v>0</v>
      </c>
      <c r="FS27" s="364">
        <v>129.25781567299481</v>
      </c>
      <c r="FT27" s="364">
        <v>0</v>
      </c>
      <c r="FU27" s="364">
        <v>0.89295715500001027</v>
      </c>
      <c r="FV27" s="364">
        <v>0</v>
      </c>
      <c r="FW27" s="364">
        <v>0</v>
      </c>
      <c r="FX27" s="364">
        <v>0</v>
      </c>
      <c r="FY27" s="360"/>
      <c r="FZ27" s="360"/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  <c r="GQ27" s="360"/>
    </row>
    <row r="28" spans="1:199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3"/>
      <c r="FL28" s="22"/>
      <c r="FM28" s="22"/>
      <c r="FN28" s="22"/>
      <c r="FO28" s="22"/>
      <c r="FP28" s="22"/>
      <c r="FQ28" s="22"/>
      <c r="FR28" s="22"/>
      <c r="FS28" s="336"/>
      <c r="FT28" s="364"/>
      <c r="FU28" s="364"/>
      <c r="FV28" s="364"/>
      <c r="FW28" s="364"/>
      <c r="FX28" s="364"/>
      <c r="FY28" s="360"/>
      <c r="FZ28" s="360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  <c r="GQ28" s="360"/>
    </row>
    <row r="29" spans="1:199" s="3" customFormat="1" ht="13.8" x14ac:dyDescent="0.3">
      <c r="A29" s="17"/>
      <c r="B29" s="27" t="s">
        <v>62</v>
      </c>
      <c r="C29" s="324">
        <v>10.460128398596222</v>
      </c>
      <c r="D29" s="366">
        <v>9.8603036842247977</v>
      </c>
      <c r="E29" s="366">
        <v>0.59982471437142415</v>
      </c>
      <c r="F29" s="365">
        <v>6.0832275919763569E-2</v>
      </c>
      <c r="G29" s="320"/>
      <c r="H29" s="324">
        <v>11.080206674429894</v>
      </c>
      <c r="I29" s="366">
        <v>-1.219902990205096</v>
      </c>
      <c r="J29" s="365">
        <v>-0.11009749421193565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6">
        <v>10.415191592408995</v>
      </c>
      <c r="FH29" s="366">
        <v>11.103540523915727</v>
      </c>
      <c r="FI29" s="366">
        <v>12.136168315438313</v>
      </c>
      <c r="FJ29" s="366">
        <v>12.437944498722519</v>
      </c>
      <c r="FK29" s="363"/>
      <c r="FL29" s="37">
        <v>18.942207420850146</v>
      </c>
      <c r="FM29" s="366">
        <v>17.686429434254269</v>
      </c>
      <c r="FN29" s="366">
        <v>19.257870957368812</v>
      </c>
      <c r="FO29" s="366">
        <v>19.001704971236393</v>
      </c>
      <c r="FP29" s="366">
        <v>25.846290436492009</v>
      </c>
      <c r="FQ29" s="366">
        <v>24.246167652380436</v>
      </c>
      <c r="FR29" s="366">
        <v>17.292115387793949</v>
      </c>
      <c r="FS29" s="366">
        <v>11.624772627416323</v>
      </c>
      <c r="FT29" s="366">
        <v>12.221960924804941</v>
      </c>
      <c r="FU29" s="366">
        <v>12.921556042827675</v>
      </c>
      <c r="FV29" s="366">
        <v>11.05560868156021</v>
      </c>
      <c r="FW29" s="366">
        <v>9.8497570515546453</v>
      </c>
      <c r="FX29" s="366">
        <v>10.460128398596222</v>
      </c>
      <c r="FY29" s="360"/>
      <c r="FZ29" s="360"/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  <c r="GQ29" s="360"/>
    </row>
    <row r="30" spans="1:199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3"/>
      <c r="FL30" s="22"/>
      <c r="FM30" s="364"/>
      <c r="FN30" s="364"/>
      <c r="FO30" s="364"/>
      <c r="FP30" s="364"/>
      <c r="FQ30" s="364"/>
      <c r="FR30" s="364"/>
      <c r="FS30" s="364"/>
      <c r="FT30" s="364"/>
      <c r="FU30" s="364"/>
      <c r="FV30" s="364"/>
      <c r="FW30" s="364"/>
      <c r="FX30" s="364"/>
      <c r="FY30" s="360"/>
      <c r="FZ30" s="360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  <c r="GQ30" s="360"/>
    </row>
    <row r="31" spans="1:199" s="3" customFormat="1" ht="13.8" x14ac:dyDescent="0.3">
      <c r="A31" s="17"/>
      <c r="B31" s="27" t="s">
        <v>63</v>
      </c>
      <c r="C31" s="319">
        <v>514.5129740619999</v>
      </c>
      <c r="D31" s="362">
        <v>354.77222896407733</v>
      </c>
      <c r="E31" s="362">
        <v>159.74074509792257</v>
      </c>
      <c r="F31" s="365">
        <v>0.45026282233071069</v>
      </c>
      <c r="G31" s="320"/>
      <c r="H31" s="319">
        <v>342.39141039688531</v>
      </c>
      <c r="I31" s="362">
        <v>12.380818567192023</v>
      </c>
      <c r="J31" s="365">
        <v>3.6159839853577853E-2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2">
        <v>45.363769499999997</v>
      </c>
      <c r="FH31" s="362">
        <v>35.397045849999998</v>
      </c>
      <c r="FI31" s="362">
        <v>34.346771320000002</v>
      </c>
      <c r="FJ31" s="362">
        <v>29.126261149999998</v>
      </c>
      <c r="FK31" s="363"/>
      <c r="FL31" s="28">
        <v>405.81975420551674</v>
      </c>
      <c r="FM31" s="362">
        <v>408.73116200554477</v>
      </c>
      <c r="FN31" s="362">
        <v>533.03741723958046</v>
      </c>
      <c r="FO31" s="362">
        <v>488.8935630749184</v>
      </c>
      <c r="FP31" s="362">
        <v>438.41327306178107</v>
      </c>
      <c r="FQ31" s="362">
        <v>397.46334857117688</v>
      </c>
      <c r="FR31" s="362">
        <v>174.82623376053351</v>
      </c>
      <c r="FS31" s="362">
        <v>236.5935711055277</v>
      </c>
      <c r="FT31" s="362">
        <v>288.49960292350698</v>
      </c>
      <c r="FU31" s="362">
        <v>358.21341331157237</v>
      </c>
      <c r="FV31" s="362">
        <v>366.07342338756979</v>
      </c>
      <c r="FW31" s="362">
        <v>405.53503845407738</v>
      </c>
      <c r="FX31" s="362">
        <v>514.5129740619999</v>
      </c>
      <c r="FY31" s="360"/>
      <c r="FZ31" s="360"/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  <c r="GQ31" s="360"/>
    </row>
    <row r="32" spans="1:199" s="3" customFormat="1" ht="13.8" hidden="1" x14ac:dyDescent="0.3">
      <c r="A32" s="17"/>
      <c r="B32" s="21" t="s">
        <v>290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4">
        <v>0</v>
      </c>
      <c r="FH32" s="364">
        <v>0</v>
      </c>
      <c r="FI32" s="364">
        <v>0</v>
      </c>
      <c r="FJ32" s="364">
        <v>0</v>
      </c>
      <c r="FK32" s="363"/>
      <c r="FL32" s="22">
        <v>167.21257488225231</v>
      </c>
      <c r="FM32" s="364">
        <v>152.73102511653622</v>
      </c>
      <c r="FN32" s="364">
        <v>208.80699506273115</v>
      </c>
      <c r="FO32" s="364">
        <v>140.2130698178307</v>
      </c>
      <c r="FP32" s="364">
        <v>137.45138592243615</v>
      </c>
      <c r="FQ32" s="364">
        <v>86.129639260634349</v>
      </c>
      <c r="FR32" s="364">
        <v>13.035566837440175</v>
      </c>
      <c r="FS32" s="364">
        <v>8.1445384715244931</v>
      </c>
      <c r="FT32" s="364">
        <v>0</v>
      </c>
      <c r="FU32" s="364">
        <v>0</v>
      </c>
      <c r="FV32" s="364">
        <v>0</v>
      </c>
      <c r="FW32" s="364">
        <v>0</v>
      </c>
      <c r="FX32" s="364">
        <v>0</v>
      </c>
      <c r="FY32" s="360"/>
      <c r="FZ32" s="360"/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  <c r="GP32" s="360"/>
      <c r="GQ32" s="360"/>
    </row>
    <row r="33" spans="1:199" s="3" customFormat="1" ht="13.8" x14ac:dyDescent="0.3">
      <c r="A33" s="17"/>
      <c r="B33" s="21" t="s">
        <v>192</v>
      </c>
      <c r="C33" s="364">
        <v>139.82142543999998</v>
      </c>
      <c r="D33" s="364">
        <v>31.001905091160001</v>
      </c>
      <c r="E33" s="364">
        <v>108.81952034883999</v>
      </c>
      <c r="F33" s="361">
        <v>3.5100913969273839</v>
      </c>
      <c r="G33" s="323"/>
      <c r="H33" s="364">
        <v>121.37971719418999</v>
      </c>
      <c r="I33" s="364">
        <v>-90.377812103029996</v>
      </c>
      <c r="J33" s="361">
        <v>-0.74458743348724865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4">
        <v>12.50493196</v>
      </c>
      <c r="FH33" s="364">
        <v>16.276279349999999</v>
      </c>
      <c r="FI33" s="364">
        <v>14.026463120000001</v>
      </c>
      <c r="FJ33" s="364">
        <v>8.9969385199999987</v>
      </c>
      <c r="FK33" s="363"/>
      <c r="FL33" s="364">
        <v>119.85693139909749</v>
      </c>
      <c r="FM33" s="364">
        <v>80.584979651866263</v>
      </c>
      <c r="FN33" s="364">
        <v>175.05930058482758</v>
      </c>
      <c r="FO33" s="364">
        <v>183.97644775541667</v>
      </c>
      <c r="FP33" s="364">
        <v>119.10696721304811</v>
      </c>
      <c r="FQ33" s="364">
        <v>80.01219362521978</v>
      </c>
      <c r="FR33" s="364">
        <v>159.11313765354308</v>
      </c>
      <c r="FS33" s="364">
        <v>131.33574953058664</v>
      </c>
      <c r="FT33" s="364">
        <v>69.815656582598436</v>
      </c>
      <c r="FU33" s="364">
        <v>128.21198995020421</v>
      </c>
      <c r="FV33" s="364">
        <v>123.19574533657999</v>
      </c>
      <c r="FW33" s="364">
        <v>46.256380621160005</v>
      </c>
      <c r="FX33" s="364">
        <v>139.82142543999998</v>
      </c>
      <c r="FY33" s="360"/>
      <c r="FZ33" s="360"/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  <c r="GP33" s="360"/>
      <c r="GQ33" s="360"/>
    </row>
    <row r="34" spans="1:199" s="360" customFormat="1" ht="13.8" x14ac:dyDescent="0.3">
      <c r="A34" s="17"/>
      <c r="B34" s="21" t="s">
        <v>205</v>
      </c>
      <c r="C34" s="364">
        <v>182.80295308999999</v>
      </c>
      <c r="D34" s="364">
        <v>153.97310777790003</v>
      </c>
      <c r="E34" s="364">
        <v>28.829845312099962</v>
      </c>
      <c r="F34" s="361">
        <v>0.18723948440195054</v>
      </c>
      <c r="G34" s="364"/>
      <c r="H34" s="364">
        <v>155.49244977870001</v>
      </c>
      <c r="I34" s="364">
        <v>-1.5193420007999805</v>
      </c>
      <c r="J34" s="361">
        <v>-9.771162541733304E-3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4">
        <v>19.086723809999999</v>
      </c>
      <c r="FH34" s="364">
        <v>19.120766499999998</v>
      </c>
      <c r="FI34" s="364">
        <v>20.320308199999999</v>
      </c>
      <c r="FJ34" s="364">
        <v>20.129322629999997</v>
      </c>
      <c r="FK34" s="363"/>
      <c r="FL34" s="364">
        <v>0</v>
      </c>
      <c r="FM34" s="364">
        <v>0</v>
      </c>
      <c r="FN34" s="364">
        <v>0</v>
      </c>
      <c r="FO34" s="364">
        <v>0</v>
      </c>
      <c r="FP34" s="364">
        <v>0</v>
      </c>
      <c r="FQ34" s="364">
        <v>0</v>
      </c>
      <c r="FR34" s="364">
        <v>0</v>
      </c>
      <c r="FS34" s="364">
        <v>62.431915844021439</v>
      </c>
      <c r="FT34" s="364">
        <v>190.86371727306124</v>
      </c>
      <c r="FU34" s="364">
        <v>195.85514860000001</v>
      </c>
      <c r="FV34" s="364">
        <v>169.3230430337</v>
      </c>
      <c r="FW34" s="364">
        <v>168.61611777790003</v>
      </c>
      <c r="FX34" s="364">
        <v>182.80295308999999</v>
      </c>
    </row>
    <row r="35" spans="1:199" s="360" customFormat="1" ht="13.8" hidden="1" x14ac:dyDescent="0.3">
      <c r="A35" s="17"/>
      <c r="B35" s="21" t="s">
        <v>279</v>
      </c>
      <c r="C35" s="364">
        <v>16.255025319999998</v>
      </c>
      <c r="D35" s="364">
        <v>20.476981035874708</v>
      </c>
      <c r="E35" s="364">
        <v>-4.2219557158747101</v>
      </c>
      <c r="F35" s="361">
        <v>-0.20618057459144207</v>
      </c>
      <c r="G35" s="364"/>
      <c r="H35" s="364">
        <v>20.361055964229269</v>
      </c>
      <c r="I35" s="364">
        <v>0.11592507164543875</v>
      </c>
      <c r="J35" s="361">
        <v>5.693470508066888E-3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4">
        <v>0</v>
      </c>
      <c r="FH35" s="364">
        <v>0</v>
      </c>
      <c r="FI35" s="364">
        <v>0</v>
      </c>
      <c r="FJ35" s="364">
        <v>0</v>
      </c>
      <c r="FK35" s="363"/>
      <c r="FL35" s="364">
        <v>0</v>
      </c>
      <c r="FM35" s="364">
        <v>0</v>
      </c>
      <c r="FN35" s="364">
        <v>0</v>
      </c>
      <c r="FO35" s="364">
        <v>0</v>
      </c>
      <c r="FP35" s="364">
        <v>0</v>
      </c>
      <c r="FQ35" s="364">
        <v>0</v>
      </c>
      <c r="FR35" s="364">
        <v>0</v>
      </c>
      <c r="FS35" s="364">
        <v>8.1212161143840298</v>
      </c>
      <c r="FT35" s="364">
        <v>20.958133347241141</v>
      </c>
      <c r="FU35" s="364">
        <v>26.362220502318369</v>
      </c>
      <c r="FV35" s="364">
        <v>22.147219309888207</v>
      </c>
      <c r="FW35" s="364">
        <v>21.889956145874709</v>
      </c>
      <c r="FX35" s="364">
        <v>16.255025319999998</v>
      </c>
    </row>
    <row r="36" spans="1:199" s="360" customFormat="1" ht="13.8" hidden="1" x14ac:dyDescent="0.3">
      <c r="A36" s="17"/>
      <c r="B36" s="21" t="s">
        <v>279</v>
      </c>
      <c r="C36" s="364">
        <v>9.2808260699999998</v>
      </c>
      <c r="D36" s="364">
        <v>12.3702913883023</v>
      </c>
      <c r="E36" s="364">
        <v>-3.0894653183023006</v>
      </c>
      <c r="F36" s="361">
        <v>-0.24974879098028258</v>
      </c>
      <c r="G36" s="364"/>
      <c r="H36" s="364">
        <v>11.401356724077296</v>
      </c>
      <c r="I36" s="364">
        <v>0.96893466422500474</v>
      </c>
      <c r="J36" s="361">
        <v>8.4984154752286295E-2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4">
        <v>0</v>
      </c>
      <c r="FH36" s="364">
        <v>0</v>
      </c>
      <c r="FI36" s="364">
        <v>0</v>
      </c>
      <c r="FJ36" s="364">
        <v>0</v>
      </c>
      <c r="FK36" s="363"/>
      <c r="FL36" s="364">
        <v>0</v>
      </c>
      <c r="FM36" s="364">
        <v>0</v>
      </c>
      <c r="FN36" s="364">
        <v>0</v>
      </c>
      <c r="FO36" s="364">
        <v>0</v>
      </c>
      <c r="FP36" s="364">
        <v>0</v>
      </c>
      <c r="FQ36" s="364">
        <v>0</v>
      </c>
      <c r="FR36" s="364">
        <v>0</v>
      </c>
      <c r="FS36" s="364">
        <v>0</v>
      </c>
      <c r="FT36" s="364">
        <v>0</v>
      </c>
      <c r="FU36" s="364">
        <v>0</v>
      </c>
      <c r="FV36" s="364">
        <v>12.544472088749007</v>
      </c>
      <c r="FW36" s="364">
        <v>13.1753863483023</v>
      </c>
      <c r="FX36" s="364">
        <v>9.2808260699999998</v>
      </c>
    </row>
    <row r="37" spans="1:199" s="360" customFormat="1" ht="13.8" hidden="1" x14ac:dyDescent="0.3">
      <c r="A37" s="17"/>
      <c r="B37" s="21" t="s">
        <v>272</v>
      </c>
      <c r="C37" s="364">
        <v>4.8682808299999998</v>
      </c>
      <c r="D37" s="364">
        <v>6.5003308280053211</v>
      </c>
      <c r="E37" s="364">
        <v>-1.6320499980053214</v>
      </c>
      <c r="F37" s="361">
        <v>-0.25107183637084651</v>
      </c>
      <c r="G37" s="364"/>
      <c r="H37" s="364">
        <v>6.7828142147386883</v>
      </c>
      <c r="I37" s="364">
        <v>-0.28248338673336715</v>
      </c>
      <c r="J37" s="361">
        <v>-4.1646929694690152E-2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4">
        <v>0.58335650999999999</v>
      </c>
      <c r="FH37" s="364">
        <v>0</v>
      </c>
      <c r="FI37" s="364">
        <v>0</v>
      </c>
      <c r="FJ37" s="364">
        <v>0</v>
      </c>
      <c r="FK37" s="363"/>
      <c r="FL37" s="364">
        <v>0</v>
      </c>
      <c r="FM37" s="364">
        <v>0</v>
      </c>
      <c r="FN37" s="364">
        <v>0</v>
      </c>
      <c r="FO37" s="364">
        <v>0</v>
      </c>
      <c r="FP37" s="364">
        <v>0</v>
      </c>
      <c r="FQ37" s="364">
        <v>0</v>
      </c>
      <c r="FR37" s="364">
        <v>0</v>
      </c>
      <c r="FS37" s="364">
        <v>2.1848480118980196</v>
      </c>
      <c r="FT37" s="364">
        <v>6.6956201466090537</v>
      </c>
      <c r="FU37" s="364">
        <v>7.0202725980530705</v>
      </c>
      <c r="FV37" s="364">
        <v>7.3249180574329706</v>
      </c>
      <c r="FW37" s="364">
        <v>7.031797288005321</v>
      </c>
      <c r="FX37" s="364">
        <v>4.8682808299999998</v>
      </c>
    </row>
    <row r="38" spans="1:199" s="360" customFormat="1" ht="13.8" hidden="1" x14ac:dyDescent="0.3">
      <c r="A38" s="17"/>
      <c r="B38" s="21" t="s">
        <v>280</v>
      </c>
      <c r="C38" s="364">
        <v>7.3505759099999999</v>
      </c>
      <c r="D38" s="364">
        <v>12.019951021815405</v>
      </c>
      <c r="E38" s="364">
        <v>-4.6693751118154054</v>
      </c>
      <c r="F38" s="361">
        <v>-0.38846873030853474</v>
      </c>
      <c r="G38" s="364"/>
      <c r="H38" s="364">
        <v>12.107347074147631</v>
      </c>
      <c r="I38" s="364">
        <v>-8.7396052332225693E-2</v>
      </c>
      <c r="J38" s="361">
        <v>-7.2184312382387421E-3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4">
        <v>0</v>
      </c>
      <c r="FH38" s="364">
        <v>0</v>
      </c>
      <c r="FI38" s="364">
        <v>0</v>
      </c>
      <c r="FJ38" s="364">
        <v>0</v>
      </c>
      <c r="FK38" s="363"/>
      <c r="FL38" s="364">
        <v>0</v>
      </c>
      <c r="FM38" s="364">
        <v>0</v>
      </c>
      <c r="FN38" s="364">
        <v>0</v>
      </c>
      <c r="FO38" s="364">
        <v>0</v>
      </c>
      <c r="FP38" s="364">
        <v>0</v>
      </c>
      <c r="FQ38" s="364">
        <v>0</v>
      </c>
      <c r="FR38" s="364">
        <v>0</v>
      </c>
      <c r="FS38" s="364">
        <v>0</v>
      </c>
      <c r="FT38" s="364">
        <v>0</v>
      </c>
      <c r="FU38" s="364">
        <v>0.65552580681287498</v>
      </c>
      <c r="FV38" s="364">
        <v>13.038314033771815</v>
      </c>
      <c r="FW38" s="364">
        <v>12.924125231815406</v>
      </c>
      <c r="FX38" s="364">
        <v>7.3505759099999999</v>
      </c>
    </row>
    <row r="39" spans="1:199" s="360" customFormat="1" ht="13.8" hidden="1" x14ac:dyDescent="0.3">
      <c r="A39" s="17"/>
      <c r="B39" s="21" t="s">
        <v>281</v>
      </c>
      <c r="C39" s="364">
        <v>12.726935209999999</v>
      </c>
      <c r="D39" s="364">
        <v>17.373227807109885</v>
      </c>
      <c r="E39" s="364">
        <v>-4.6462925971098858</v>
      </c>
      <c r="F39" s="361">
        <v>-0.2674398015553805</v>
      </c>
      <c r="G39" s="364"/>
      <c r="H39" s="364">
        <v>8.5720207160370201</v>
      </c>
      <c r="I39" s="364">
        <v>8.8012070910728646</v>
      </c>
      <c r="J39" s="361">
        <v>1.0267365633644667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4">
        <v>0</v>
      </c>
      <c r="FH39" s="364">
        <v>0</v>
      </c>
      <c r="FI39" s="364">
        <v>0</v>
      </c>
      <c r="FJ39" s="364">
        <v>0</v>
      </c>
      <c r="FK39" s="363"/>
      <c r="FL39" s="364">
        <v>0</v>
      </c>
      <c r="FM39" s="364">
        <v>0</v>
      </c>
      <c r="FN39" s="364">
        <v>0</v>
      </c>
      <c r="FO39" s="364">
        <v>0</v>
      </c>
      <c r="FP39" s="364">
        <v>0</v>
      </c>
      <c r="FQ39" s="364">
        <v>0</v>
      </c>
      <c r="FR39" s="364">
        <v>0</v>
      </c>
      <c r="FS39" s="364">
        <v>0</v>
      </c>
      <c r="FT39" s="364">
        <v>0</v>
      </c>
      <c r="FU39" s="364">
        <v>0</v>
      </c>
      <c r="FV39" s="364">
        <v>9.717846139013929</v>
      </c>
      <c r="FW39" s="364">
        <v>18.463438307109886</v>
      </c>
      <c r="FX39" s="364">
        <v>12.726935209999999</v>
      </c>
    </row>
    <row r="40" spans="1:199" s="360" customFormat="1" ht="13.8" hidden="1" x14ac:dyDescent="0.3">
      <c r="A40" s="17"/>
      <c r="B40" s="21" t="s">
        <v>278</v>
      </c>
      <c r="C40" s="364">
        <v>13.966788939999999</v>
      </c>
      <c r="D40" s="364">
        <v>19.405050230150717</v>
      </c>
      <c r="E40" s="364">
        <v>-5.4382612901507184</v>
      </c>
      <c r="F40" s="361">
        <v>-0.28024979196915378</v>
      </c>
      <c r="G40" s="364"/>
      <c r="H40" s="364">
        <v>4.430843770062955</v>
      </c>
      <c r="I40" s="364">
        <v>14.974206460087762</v>
      </c>
      <c r="J40" s="361">
        <v>3.3795383536790791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4">
        <v>0</v>
      </c>
      <c r="FH40" s="364">
        <v>0</v>
      </c>
      <c r="FI40" s="364">
        <v>0</v>
      </c>
      <c r="FJ40" s="364">
        <v>0</v>
      </c>
      <c r="FK40" s="363"/>
      <c r="FL40" s="364">
        <v>0</v>
      </c>
      <c r="FM40" s="364">
        <v>0</v>
      </c>
      <c r="FN40" s="364">
        <v>0</v>
      </c>
      <c r="FO40" s="364">
        <v>0</v>
      </c>
      <c r="FP40" s="364">
        <v>0</v>
      </c>
      <c r="FQ40" s="364">
        <v>0</v>
      </c>
      <c r="FR40" s="364">
        <v>0</v>
      </c>
      <c r="FS40" s="364">
        <v>0</v>
      </c>
      <c r="FT40" s="364">
        <v>0</v>
      </c>
      <c r="FU40" s="364">
        <v>0</v>
      </c>
      <c r="FV40" s="364">
        <v>5.9348332280377685</v>
      </c>
      <c r="FW40" s="364">
        <v>20.900787470150718</v>
      </c>
      <c r="FX40" s="364">
        <v>13.966788939999999</v>
      </c>
    </row>
    <row r="41" spans="1:199" s="360" customFormat="1" ht="13.8" hidden="1" x14ac:dyDescent="0.3">
      <c r="A41" s="17"/>
      <c r="B41" s="21" t="s">
        <v>282</v>
      </c>
      <c r="C41" s="364">
        <v>8.8244946199999994</v>
      </c>
      <c r="D41" s="364">
        <v>11.330677531660475</v>
      </c>
      <c r="E41" s="364">
        <v>-2.5061829116604759</v>
      </c>
      <c r="F41" s="361">
        <v>-0.22118561795246877</v>
      </c>
      <c r="G41" s="364"/>
      <c r="H41" s="364">
        <v>1.8638049607024936</v>
      </c>
      <c r="I41" s="364">
        <v>9.4668725709579817</v>
      </c>
      <c r="J41" s="361">
        <v>5.0793257720431155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4">
        <v>0</v>
      </c>
      <c r="FH41" s="364">
        <v>0</v>
      </c>
      <c r="FI41" s="364">
        <v>0</v>
      </c>
      <c r="FJ41" s="364">
        <v>0</v>
      </c>
      <c r="FK41" s="363"/>
      <c r="FL41" s="364">
        <v>0</v>
      </c>
      <c r="FM41" s="364">
        <v>0</v>
      </c>
      <c r="FN41" s="364">
        <v>0</v>
      </c>
      <c r="FO41" s="364">
        <v>0</v>
      </c>
      <c r="FP41" s="364">
        <v>0</v>
      </c>
      <c r="FQ41" s="364">
        <v>0</v>
      </c>
      <c r="FR41" s="364">
        <v>0</v>
      </c>
      <c r="FS41" s="364">
        <v>0</v>
      </c>
      <c r="FT41" s="364">
        <v>0</v>
      </c>
      <c r="FU41" s="364">
        <v>0</v>
      </c>
      <c r="FV41" s="364">
        <v>2.8470321603960862</v>
      </c>
      <c r="FW41" s="364">
        <v>12.073456821660475</v>
      </c>
      <c r="FX41" s="364">
        <v>8.8244946199999994</v>
      </c>
    </row>
    <row r="42" spans="1:199" s="360" customFormat="1" ht="13.8" hidden="1" x14ac:dyDescent="0.3">
      <c r="A42" s="17"/>
      <c r="B42" s="21" t="s">
        <v>287</v>
      </c>
      <c r="C42" s="364">
        <v>5.4471588100000004</v>
      </c>
      <c r="D42" s="364">
        <v>7.7452166140885366</v>
      </c>
      <c r="E42" s="364">
        <v>-2.2980578040885362</v>
      </c>
      <c r="F42" s="361">
        <v>-0.29670671829995987</v>
      </c>
      <c r="G42" s="364"/>
      <c r="H42" s="364">
        <v>0</v>
      </c>
      <c r="I42" s="364">
        <v>7.7452166140885366</v>
      </c>
      <c r="J42" s="361">
        <v>0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4">
        <v>0</v>
      </c>
      <c r="FH42" s="364">
        <v>0</v>
      </c>
      <c r="FI42" s="364">
        <v>0</v>
      </c>
      <c r="FJ42" s="364">
        <v>0</v>
      </c>
      <c r="FK42" s="363"/>
      <c r="FL42" s="364">
        <v>0</v>
      </c>
      <c r="FM42" s="364">
        <v>0</v>
      </c>
      <c r="FN42" s="364">
        <v>0</v>
      </c>
      <c r="FO42" s="364">
        <v>0</v>
      </c>
      <c r="FP42" s="364">
        <v>0</v>
      </c>
      <c r="FQ42" s="364">
        <v>0</v>
      </c>
      <c r="FR42" s="364">
        <v>0</v>
      </c>
      <c r="FS42" s="364">
        <v>0</v>
      </c>
      <c r="FT42" s="364">
        <v>0</v>
      </c>
      <c r="FU42" s="364">
        <v>0</v>
      </c>
      <c r="FV42" s="364">
        <v>0</v>
      </c>
      <c r="FW42" s="364">
        <v>8.504974934088537</v>
      </c>
      <c r="FX42" s="364">
        <v>5.4471588100000004</v>
      </c>
    </row>
    <row r="43" spans="1:199" s="360" customFormat="1" ht="13.8" hidden="1" x14ac:dyDescent="0.3">
      <c r="A43" s="17"/>
      <c r="B43" s="21" t="s">
        <v>291</v>
      </c>
      <c r="C43" s="364">
        <v>9.2308759419999991</v>
      </c>
      <c r="D43" s="364">
        <v>5.4976599680000007</v>
      </c>
      <c r="E43" s="364">
        <v>3.7332159739999984</v>
      </c>
      <c r="F43" s="361">
        <v>0.67905545190676986</v>
      </c>
      <c r="G43" s="364"/>
      <c r="H43" s="364">
        <v>0</v>
      </c>
      <c r="I43" s="364">
        <v>5.4976599680000007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4">
        <v>0</v>
      </c>
      <c r="FH43" s="364">
        <v>0</v>
      </c>
      <c r="FI43" s="364">
        <v>0</v>
      </c>
      <c r="FJ43" s="364">
        <v>0</v>
      </c>
      <c r="FK43" s="363"/>
      <c r="FL43" s="364">
        <v>0</v>
      </c>
      <c r="FM43" s="364">
        <v>0</v>
      </c>
      <c r="FN43" s="364">
        <v>0</v>
      </c>
      <c r="FO43" s="364">
        <v>0</v>
      </c>
      <c r="FP43" s="364">
        <v>0</v>
      </c>
      <c r="FQ43" s="364">
        <v>0</v>
      </c>
      <c r="FR43" s="364">
        <v>0</v>
      </c>
      <c r="FS43" s="364">
        <v>0</v>
      </c>
      <c r="FT43" s="364">
        <v>0</v>
      </c>
      <c r="FU43" s="364">
        <v>0</v>
      </c>
      <c r="FV43" s="364">
        <v>0</v>
      </c>
      <c r="FW43" s="364">
        <v>6.081735698000001</v>
      </c>
      <c r="FX43" s="364">
        <v>9.2308759419999991</v>
      </c>
    </row>
    <row r="44" spans="1:199" s="360" customFormat="1" ht="13.8" hidden="1" x14ac:dyDescent="0.3">
      <c r="A44" s="17"/>
      <c r="B44" s="21" t="s">
        <v>292</v>
      </c>
      <c r="C44" s="364">
        <v>13.915759790000001</v>
      </c>
      <c r="D44" s="364">
        <v>12.380853760009996</v>
      </c>
      <c r="E44" s="364">
        <v>1.5349060299900046</v>
      </c>
      <c r="F44" s="361">
        <v>0.12397416686624084</v>
      </c>
      <c r="G44" s="364"/>
      <c r="H44" s="364">
        <v>0</v>
      </c>
      <c r="I44" s="364">
        <v>12.380853760009996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4">
        <v>0</v>
      </c>
      <c r="FH44" s="364">
        <v>0</v>
      </c>
      <c r="FI44" s="364">
        <v>0</v>
      </c>
      <c r="FJ44" s="364">
        <v>0</v>
      </c>
      <c r="FK44" s="363"/>
      <c r="FL44" s="364">
        <v>0</v>
      </c>
      <c r="FM44" s="364">
        <v>0</v>
      </c>
      <c r="FN44" s="364">
        <v>0</v>
      </c>
      <c r="FO44" s="364">
        <v>0</v>
      </c>
      <c r="FP44" s="364">
        <v>0</v>
      </c>
      <c r="FQ44" s="364">
        <v>0</v>
      </c>
      <c r="FR44" s="364">
        <v>0</v>
      </c>
      <c r="FS44" s="364">
        <v>0</v>
      </c>
      <c r="FT44" s="364">
        <v>0</v>
      </c>
      <c r="FU44" s="364">
        <v>0</v>
      </c>
      <c r="FV44" s="364">
        <v>0</v>
      </c>
      <c r="FW44" s="364">
        <v>13.663485410009997</v>
      </c>
      <c r="FX44" s="364">
        <v>13.915759790000001</v>
      </c>
    </row>
    <row r="45" spans="1:199" s="360" customFormat="1" ht="13.8" x14ac:dyDescent="0.3">
      <c r="A45" s="17"/>
      <c r="B45" s="21" t="s">
        <v>293</v>
      </c>
      <c r="C45" s="364">
        <v>101.866721442</v>
      </c>
      <c r="D45" s="364">
        <v>125.10024018501736</v>
      </c>
      <c r="E45" s="364">
        <v>-23.233518743017356</v>
      </c>
      <c r="F45" s="361">
        <v>-0.18571921771417926</v>
      </c>
      <c r="G45" s="364"/>
      <c r="H45" s="364">
        <v>65.519243423995363</v>
      </c>
      <c r="I45" s="364">
        <v>59.580996761021993</v>
      </c>
      <c r="J45" s="361">
        <v>0.90936637310438506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4">
        <v>0.58335650999999999</v>
      </c>
      <c r="FH45" s="364">
        <v>0</v>
      </c>
      <c r="FI45" s="364">
        <v>0</v>
      </c>
      <c r="FJ45" s="364">
        <v>0</v>
      </c>
      <c r="FK45" s="363"/>
      <c r="FL45" s="364">
        <v>0</v>
      </c>
      <c r="FM45" s="364">
        <v>0</v>
      </c>
      <c r="FN45" s="364">
        <v>0</v>
      </c>
      <c r="FO45" s="364">
        <v>0</v>
      </c>
      <c r="FP45" s="364">
        <v>0</v>
      </c>
      <c r="FQ45" s="364">
        <v>0</v>
      </c>
      <c r="FR45" s="364">
        <v>0</v>
      </c>
      <c r="FS45" s="364">
        <v>10.306064126282049</v>
      </c>
      <c r="FT45" s="364">
        <v>27.653753493850193</v>
      </c>
      <c r="FU45" s="364">
        <v>34.038018907184316</v>
      </c>
      <c r="FV45" s="364">
        <v>73.554635017289797</v>
      </c>
      <c r="FW45" s="364">
        <v>134.70914365501736</v>
      </c>
      <c r="FX45" s="364">
        <v>101.866721442</v>
      </c>
    </row>
    <row r="46" spans="1:199" s="360" customFormat="1" ht="13.8" x14ac:dyDescent="0.3">
      <c r="A46" s="17"/>
      <c r="B46" s="21" t="s">
        <v>294</v>
      </c>
      <c r="C46" s="364">
        <v>90.021874089999997</v>
      </c>
      <c r="D46" s="364">
        <v>44.696975909999999</v>
      </c>
      <c r="E46" s="364">
        <v>45.324898179999998</v>
      </c>
      <c r="F46" s="361">
        <v>1.0140484284946785</v>
      </c>
      <c r="G46" s="364"/>
      <c r="H46" s="364">
        <v>0</v>
      </c>
      <c r="I46" s="364">
        <v>44.696975909999999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4">
        <v>13.188757220000001</v>
      </c>
      <c r="FH46" s="364">
        <v>0</v>
      </c>
      <c r="FI46" s="364">
        <v>0</v>
      </c>
      <c r="FJ46" s="364">
        <v>0</v>
      </c>
      <c r="FK46" s="363"/>
      <c r="FL46" s="364">
        <v>0</v>
      </c>
      <c r="FM46" s="364">
        <v>0</v>
      </c>
      <c r="FN46" s="364">
        <v>0</v>
      </c>
      <c r="FO46" s="364">
        <v>0</v>
      </c>
      <c r="FP46" s="364">
        <v>0</v>
      </c>
      <c r="FQ46" s="364">
        <v>0</v>
      </c>
      <c r="FR46" s="364">
        <v>0</v>
      </c>
      <c r="FS46" s="364">
        <v>0</v>
      </c>
      <c r="FT46" s="364">
        <v>0</v>
      </c>
      <c r="FU46" s="364">
        <v>0</v>
      </c>
      <c r="FV46" s="364">
        <v>0</v>
      </c>
      <c r="FW46" s="364">
        <v>55.953396400000003</v>
      </c>
      <c r="FX46" s="364">
        <v>90.021874089999997</v>
      </c>
    </row>
    <row r="47" spans="1:199" s="3" customFormat="1" ht="13.8" hidden="1" x14ac:dyDescent="0.3">
      <c r="A47" s="17"/>
      <c r="B47" s="21" t="s">
        <v>112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4">
        <v>0</v>
      </c>
      <c r="FH47" s="364">
        <v>0</v>
      </c>
      <c r="FI47" s="364">
        <v>0</v>
      </c>
      <c r="FJ47" s="364">
        <v>0</v>
      </c>
      <c r="FK47" s="363"/>
      <c r="FL47" s="364">
        <v>55.210031423321695</v>
      </c>
      <c r="FM47" s="364">
        <v>88.573490538320186</v>
      </c>
      <c r="FN47" s="364">
        <v>130.09084502972743</v>
      </c>
      <c r="FO47" s="364">
        <v>151.54699937088475</v>
      </c>
      <c r="FP47" s="364">
        <v>0</v>
      </c>
      <c r="FQ47" s="364">
        <v>0</v>
      </c>
      <c r="FR47" s="364">
        <v>0</v>
      </c>
      <c r="FS47" s="364">
        <v>0</v>
      </c>
      <c r="FT47" s="364">
        <v>0</v>
      </c>
      <c r="FU47" s="364">
        <v>0</v>
      </c>
      <c r="FV47" s="364">
        <v>0</v>
      </c>
      <c r="FW47" s="364">
        <v>0</v>
      </c>
      <c r="FX47" s="364">
        <v>0</v>
      </c>
      <c r="FY47" s="360"/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</row>
    <row r="48" spans="1:199" s="3" customFormat="1" ht="13.8" hidden="1" x14ac:dyDescent="0.3">
      <c r="A48" s="17"/>
      <c r="B48" s="21" t="s">
        <v>295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4">
        <v>0</v>
      </c>
      <c r="FH48" s="364">
        <v>0</v>
      </c>
      <c r="FI48" s="364">
        <v>0</v>
      </c>
      <c r="FJ48" s="364">
        <v>0</v>
      </c>
      <c r="FK48" s="363"/>
      <c r="FL48" s="364">
        <v>63.540216500845233</v>
      </c>
      <c r="FM48" s="364">
        <v>74.942687916232956</v>
      </c>
      <c r="FN48" s="364">
        <v>0</v>
      </c>
      <c r="FO48" s="364">
        <v>0</v>
      </c>
      <c r="FP48" s="364">
        <v>0</v>
      </c>
      <c r="FQ48" s="364">
        <v>0</v>
      </c>
      <c r="FR48" s="364">
        <v>0</v>
      </c>
      <c r="FS48" s="364">
        <v>0</v>
      </c>
      <c r="FT48" s="364">
        <v>0</v>
      </c>
      <c r="FU48" s="364">
        <v>0</v>
      </c>
      <c r="FV48" s="364">
        <v>0</v>
      </c>
      <c r="FW48" s="364">
        <v>0</v>
      </c>
      <c r="FX48" s="364">
        <v>0</v>
      </c>
      <c r="FY48" s="360"/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</row>
    <row r="49" spans="1:199" s="3" customFormat="1" ht="13.8" hidden="1" x14ac:dyDescent="0.3">
      <c r="A49" s="17"/>
      <c r="B49" s="21" t="s">
        <v>296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4">
        <v>0</v>
      </c>
      <c r="FH49" s="364">
        <v>0</v>
      </c>
      <c r="FI49" s="364">
        <v>0</v>
      </c>
      <c r="FJ49" s="364">
        <v>0</v>
      </c>
      <c r="FK49" s="363"/>
      <c r="FL49" s="364">
        <v>0</v>
      </c>
      <c r="FM49" s="364">
        <v>2.5220675143792244</v>
      </c>
      <c r="FN49" s="364">
        <v>3.1115762680861789</v>
      </c>
      <c r="FO49" s="364">
        <v>3.4615053179770534</v>
      </c>
      <c r="FP49" s="364">
        <v>3.626857112584609</v>
      </c>
      <c r="FQ49" s="364">
        <v>3.2888397844950465</v>
      </c>
      <c r="FR49" s="364">
        <v>2.6775292695502673</v>
      </c>
      <c r="FS49" s="364">
        <v>2.5644363775219108</v>
      </c>
      <c r="FT49" s="364">
        <v>0.1664755739970788</v>
      </c>
      <c r="FU49" s="364">
        <v>0</v>
      </c>
      <c r="FV49" s="364">
        <v>0</v>
      </c>
      <c r="FW49" s="364">
        <v>0</v>
      </c>
      <c r="FX49" s="364">
        <v>0</v>
      </c>
      <c r="FY49" s="360"/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</row>
    <row r="50" spans="1:199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4">
        <v>0</v>
      </c>
      <c r="FH50" s="364">
        <v>0</v>
      </c>
      <c r="FI50" s="364">
        <v>0</v>
      </c>
      <c r="FJ50" s="364">
        <v>0</v>
      </c>
      <c r="FK50" s="363"/>
      <c r="FL50" s="364">
        <v>0</v>
      </c>
      <c r="FM50" s="364">
        <v>9.37691126820995</v>
      </c>
      <c r="FN50" s="364">
        <v>15.9687002942081</v>
      </c>
      <c r="FO50" s="364">
        <v>9.6955408128092095</v>
      </c>
      <c r="FP50" s="364">
        <v>178.22806281371217</v>
      </c>
      <c r="FQ50" s="364">
        <v>228.03267590082768</v>
      </c>
      <c r="FR50" s="364">
        <v>0</v>
      </c>
      <c r="FS50" s="364">
        <v>21.810866755591192</v>
      </c>
      <c r="FT50" s="364">
        <v>0</v>
      </c>
      <c r="FU50" s="364">
        <v>0.10825585418381564</v>
      </c>
      <c r="FV50" s="364">
        <v>0</v>
      </c>
      <c r="FW50" s="364">
        <v>0</v>
      </c>
      <c r="FX50" s="364">
        <v>0</v>
      </c>
      <c r="FY50" s="360"/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  <c r="GQ50" s="360"/>
    </row>
    <row r="51" spans="1:199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3"/>
      <c r="FL51" s="22"/>
      <c r="FM51" s="364"/>
      <c r="FN51" s="364"/>
      <c r="FO51" s="364"/>
      <c r="FP51" s="364"/>
      <c r="FQ51" s="364"/>
      <c r="FR51" s="364"/>
      <c r="FS51" s="364"/>
      <c r="FT51" s="364"/>
      <c r="FU51" s="364"/>
      <c r="FV51" s="364"/>
      <c r="FW51" s="364"/>
      <c r="FX51" s="364"/>
      <c r="FY51" s="360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  <c r="GQ51" s="360"/>
    </row>
    <row r="52" spans="1:199" s="3" customFormat="1" ht="13.8" x14ac:dyDescent="0.3">
      <c r="A52" s="17"/>
      <c r="B52" s="27" t="s">
        <v>64</v>
      </c>
      <c r="C52" s="319">
        <v>8819.9463224988813</v>
      </c>
      <c r="D52" s="319">
        <v>7738.5385218813935</v>
      </c>
      <c r="E52" s="362">
        <v>1081.4078006174877</v>
      </c>
      <c r="F52" s="365">
        <v>0.13974315661280393</v>
      </c>
      <c r="G52" s="320"/>
      <c r="H52" s="319">
        <v>3186.0592230832585</v>
      </c>
      <c r="I52" s="362">
        <v>4552.4792987981346</v>
      </c>
      <c r="J52" s="365">
        <v>1.4288746630367231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1007.151857279033</v>
      </c>
      <c r="FG52" s="362">
        <v>841.61930263219438</v>
      </c>
      <c r="FH52" s="362">
        <v>661.61636918952559</v>
      </c>
      <c r="FI52" s="362">
        <v>712.79840143511092</v>
      </c>
      <c r="FJ52" s="362">
        <v>626.61921729605933</v>
      </c>
      <c r="FK52" s="363"/>
      <c r="FL52" s="28">
        <v>2150.1101383667165</v>
      </c>
      <c r="FM52" s="362">
        <v>2303.8951116810449</v>
      </c>
      <c r="FN52" s="362">
        <v>2764.4099210252489</v>
      </c>
      <c r="FO52" s="362">
        <v>2561.997584634953</v>
      </c>
      <c r="FP52" s="362">
        <v>1688.4959224528891</v>
      </c>
      <c r="FQ52" s="362">
        <v>1633.9210668655155</v>
      </c>
      <c r="FR52" s="362">
        <v>1005.9700068230781</v>
      </c>
      <c r="FS52" s="362">
        <v>1853.6860264423487</v>
      </c>
      <c r="FT52" s="362">
        <v>2356.109802665429</v>
      </c>
      <c r="FU52" s="362">
        <v>2770.6753419603065</v>
      </c>
      <c r="FV52" s="362">
        <v>3406.2812449889029</v>
      </c>
      <c r="FW52" s="362">
        <v>8691.4485218813916</v>
      </c>
      <c r="FX52" s="362">
        <v>8819.9463224988795</v>
      </c>
      <c r="FY52" s="360"/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  <c r="GQ52" s="360"/>
    </row>
    <row r="53" spans="1:199" s="3" customFormat="1" ht="13.8" x14ac:dyDescent="0.3">
      <c r="A53" s="17"/>
      <c r="B53" s="21" t="s">
        <v>18</v>
      </c>
      <c r="C53" s="323">
        <v>2520.9939350227787</v>
      </c>
      <c r="D53" s="323">
        <v>2594.5559282544191</v>
      </c>
      <c r="E53" s="364">
        <v>-73.561993231640372</v>
      </c>
      <c r="F53" s="361">
        <v>-2.8352440751250967E-2</v>
      </c>
      <c r="G53" s="323"/>
      <c r="H53" s="323">
        <v>1515.0354994850845</v>
      </c>
      <c r="I53" s="364">
        <v>1079.5204287693346</v>
      </c>
      <c r="J53" s="361">
        <v>0.71253804226780915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4">
        <v>219.89135089111392</v>
      </c>
      <c r="FH53" s="364">
        <v>205.05477733118209</v>
      </c>
      <c r="FI53" s="364">
        <v>222.25922687269897</v>
      </c>
      <c r="FJ53" s="364">
        <v>192.1527134423761</v>
      </c>
      <c r="FK53" s="363"/>
      <c r="FL53" s="22">
        <v>678.22667165878806</v>
      </c>
      <c r="FM53" s="364">
        <v>771.35536874426418</v>
      </c>
      <c r="FN53" s="364">
        <v>826.31640380312535</v>
      </c>
      <c r="FO53" s="364">
        <v>938.35562287082303</v>
      </c>
      <c r="FP53" s="364">
        <v>740.47899269165998</v>
      </c>
      <c r="FQ53" s="364">
        <v>762.24061216706957</v>
      </c>
      <c r="FR53" s="364">
        <v>329.41160551125688</v>
      </c>
      <c r="FS53" s="364">
        <v>865.01522756846248</v>
      </c>
      <c r="FT53" s="364">
        <v>1102.5634926364969</v>
      </c>
      <c r="FU53" s="364">
        <v>1362.9592330134963</v>
      </c>
      <c r="FV53" s="364">
        <v>1624.8780428712489</v>
      </c>
      <c r="FW53" s="364">
        <v>2921.4659282544189</v>
      </c>
      <c r="FX53" s="364">
        <v>2520.9939350227787</v>
      </c>
      <c r="FY53" s="360"/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  <c r="GQ53" s="360"/>
    </row>
    <row r="54" spans="1:199" s="3" customFormat="1" ht="13.8" x14ac:dyDescent="0.3">
      <c r="A54" s="17"/>
      <c r="B54" s="21" t="s">
        <v>19</v>
      </c>
      <c r="C54" s="364">
        <v>3279.7033414834896</v>
      </c>
      <c r="D54" s="364">
        <v>2796.2626742884067</v>
      </c>
      <c r="E54" s="364">
        <v>483.44066719508282</v>
      </c>
      <c r="F54" s="361">
        <v>0.17288814518046267</v>
      </c>
      <c r="G54" s="323"/>
      <c r="H54" s="364">
        <v>1534.3576174721159</v>
      </c>
      <c r="I54" s="364">
        <v>1261.9050568162909</v>
      </c>
      <c r="J54" s="361">
        <v>0.82243216473569192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382.50465784214566</v>
      </c>
      <c r="FG54" s="364">
        <v>322.86687529245148</v>
      </c>
      <c r="FH54" s="364">
        <v>248.41001204742946</v>
      </c>
      <c r="FI54" s="364">
        <v>265.21189963524535</v>
      </c>
      <c r="FJ54" s="364">
        <v>237.17556428088102</v>
      </c>
      <c r="FK54" s="363"/>
      <c r="FL54" s="364">
        <v>663.38445773073295</v>
      </c>
      <c r="FM54" s="364">
        <v>700.97923700176329</v>
      </c>
      <c r="FN54" s="364">
        <v>725.48806145842741</v>
      </c>
      <c r="FO54" s="364">
        <v>762.75691433659676</v>
      </c>
      <c r="FP54" s="364">
        <v>943.83885214322891</v>
      </c>
      <c r="FQ54" s="364">
        <v>871.68045469844583</v>
      </c>
      <c r="FR54" s="364">
        <v>339.60038027885503</v>
      </c>
      <c r="FS54" s="364">
        <v>875.34897953212135</v>
      </c>
      <c r="FT54" s="364">
        <v>1109.7220974262864</v>
      </c>
      <c r="FU54" s="364">
        <v>1375.8635636657775</v>
      </c>
      <c r="FV54" s="364">
        <v>1644.465519566596</v>
      </c>
      <c r="FW54" s="364">
        <v>3126.7526742884065</v>
      </c>
      <c r="FX54" s="364">
        <v>3279.7033414834896</v>
      </c>
      <c r="FY54" s="360"/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  <c r="GQ54" s="360"/>
    </row>
    <row r="55" spans="1:199" s="3" customFormat="1" ht="13.8" x14ac:dyDescent="0.3">
      <c r="A55" s="17"/>
      <c r="B55" s="21" t="s">
        <v>20</v>
      </c>
      <c r="C55" s="364">
        <v>3019.2490459926116</v>
      </c>
      <c r="D55" s="364">
        <v>2152.2592805133722</v>
      </c>
      <c r="E55" s="364">
        <v>866.9897654792394</v>
      </c>
      <c r="F55" s="361">
        <v>0.40282775097266105</v>
      </c>
      <c r="G55" s="323"/>
      <c r="H55" s="364">
        <v>74.268186845323797</v>
      </c>
      <c r="I55" s="364">
        <v>2077.9910936680485</v>
      </c>
      <c r="J55" s="361">
        <v>27.979558703860921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369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369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4">
        <v>298.86107644862903</v>
      </c>
      <c r="FH55" s="364">
        <v>208.15157981091397</v>
      </c>
      <c r="FI55" s="364">
        <v>225.3272749271666</v>
      </c>
      <c r="FJ55" s="364">
        <v>197.29093957280227</v>
      </c>
      <c r="FK55" s="363"/>
      <c r="FL55" s="364">
        <v>280.71189932057166</v>
      </c>
      <c r="FM55" s="364">
        <v>388.13204600535096</v>
      </c>
      <c r="FN55" s="364">
        <v>551.6699152602323</v>
      </c>
      <c r="FO55" s="364">
        <v>532.84149733867321</v>
      </c>
      <c r="FP55" s="364">
        <v>4.1780776179999997</v>
      </c>
      <c r="FQ55" s="364">
        <v>0</v>
      </c>
      <c r="FR55" s="364">
        <v>0</v>
      </c>
      <c r="FS55" s="364">
        <v>0</v>
      </c>
      <c r="FT55" s="364">
        <v>0</v>
      </c>
      <c r="FU55" s="364">
        <v>0</v>
      </c>
      <c r="FV55" s="364">
        <v>74.268186845323797</v>
      </c>
      <c r="FW55" s="364">
        <v>2447.769280513372</v>
      </c>
      <c r="FX55" s="364">
        <v>3019.2490459926116</v>
      </c>
      <c r="FY55" s="360"/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  <c r="GQ55" s="360"/>
    </row>
    <row r="56" spans="1:199" s="3" customFormat="1" ht="13.8" x14ac:dyDescent="0.3">
      <c r="A56" s="17"/>
      <c r="B56" s="21" t="s">
        <v>61</v>
      </c>
      <c r="C56" s="364">
        <v>0</v>
      </c>
      <c r="D56" s="364">
        <v>195.46063882519491</v>
      </c>
      <c r="E56" s="364">
        <v>-195.46063882519491</v>
      </c>
      <c r="F56" s="361">
        <v>-1</v>
      </c>
      <c r="G56" s="323"/>
      <c r="H56" s="364">
        <v>62.39791928073452</v>
      </c>
      <c r="I56" s="364">
        <v>133.06271954446038</v>
      </c>
      <c r="J56" s="361">
        <v>2.1324864847784077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4">
        <v>0</v>
      </c>
      <c r="FH56" s="364">
        <v>0</v>
      </c>
      <c r="FI56" s="364">
        <v>0</v>
      </c>
      <c r="FJ56" s="364">
        <v>0</v>
      </c>
      <c r="FK56" s="363"/>
      <c r="FL56" s="364">
        <v>527.78710965662344</v>
      </c>
      <c r="FM56" s="364">
        <v>443.42845992966642</v>
      </c>
      <c r="FN56" s="364">
        <v>660.93554050346415</v>
      </c>
      <c r="FO56" s="364">
        <v>328.04355008886006</v>
      </c>
      <c r="FP56" s="364">
        <v>0</v>
      </c>
      <c r="FQ56" s="364">
        <v>0</v>
      </c>
      <c r="FR56" s="364">
        <v>336.95802103296614</v>
      </c>
      <c r="FS56" s="364">
        <v>113.32181934176498</v>
      </c>
      <c r="FT56" s="364">
        <v>143.82421260264553</v>
      </c>
      <c r="FU56" s="364">
        <v>31.85254528103285</v>
      </c>
      <c r="FV56" s="364">
        <v>62.669495705734519</v>
      </c>
      <c r="FW56" s="364">
        <v>195.46063882519491</v>
      </c>
      <c r="FX56" s="364">
        <v>0</v>
      </c>
      <c r="FY56" s="360"/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  <c r="GQ56" s="360"/>
    </row>
    <row r="57" spans="1:199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3"/>
      <c r="FL57" s="22"/>
      <c r="FM57" s="364"/>
      <c r="FN57" s="364"/>
      <c r="FO57" s="364"/>
      <c r="FP57" s="364"/>
      <c r="FQ57" s="364"/>
      <c r="FR57" s="364"/>
      <c r="FS57" s="364"/>
      <c r="FT57" s="364"/>
      <c r="FU57" s="364"/>
      <c r="FV57" s="364"/>
      <c r="FW57" s="364"/>
      <c r="FX57" s="364"/>
      <c r="FY57" s="360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  <c r="GQ57" s="360"/>
    </row>
    <row r="58" spans="1:199" s="3" customFormat="1" ht="13.8" x14ac:dyDescent="0.3">
      <c r="A58" s="17"/>
      <c r="B58" s="27" t="s">
        <v>65</v>
      </c>
      <c r="C58" s="324">
        <v>10.091909140491465</v>
      </c>
      <c r="D58" s="366">
        <v>9.1713871493923076</v>
      </c>
      <c r="E58" s="366">
        <v>0.92052199109915733</v>
      </c>
      <c r="F58" s="365">
        <v>0.10036889470532827</v>
      </c>
      <c r="G58" s="320"/>
      <c r="H58" s="324">
        <v>12.775799316438388</v>
      </c>
      <c r="I58" s="366">
        <v>-3.60441216704608</v>
      </c>
      <c r="J58" s="365">
        <v>-0.28212811408272115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10.014271808273781</v>
      </c>
      <c r="FG58" s="366">
        <v>10.067513149354285</v>
      </c>
      <c r="FH58" s="366">
        <v>10.316373310656077</v>
      </c>
      <c r="FI58" s="366">
        <v>10.594459069767518</v>
      </c>
      <c r="FJ58" s="366">
        <v>10.553412452838264</v>
      </c>
      <c r="FK58" s="363"/>
      <c r="FL58" s="37">
        <v>10.798383625910605</v>
      </c>
      <c r="FM58" s="366">
        <v>11.884261627801619</v>
      </c>
      <c r="FN58" s="366">
        <v>15.593696389100636</v>
      </c>
      <c r="FO58" s="366">
        <v>15.033390667123857</v>
      </c>
      <c r="FP58" s="366">
        <v>15.640166034864905</v>
      </c>
      <c r="FQ58" s="366">
        <v>14.986507326747697</v>
      </c>
      <c r="FR58" s="366">
        <v>13.865204727124381</v>
      </c>
      <c r="FS58" s="366">
        <v>11.948227495229588</v>
      </c>
      <c r="FT58" s="366">
        <v>12.132846744249724</v>
      </c>
      <c r="FU58" s="366">
        <v>12.949965089582797</v>
      </c>
      <c r="FV58" s="366">
        <v>12.898312918990188</v>
      </c>
      <c r="FW58" s="366">
        <v>9.1833852274894863</v>
      </c>
      <c r="FX58" s="366">
        <v>10.091909140491468</v>
      </c>
      <c r="FY58" s="360"/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  <c r="GQ58" s="360"/>
    </row>
    <row r="59" spans="1:199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37"/>
      <c r="FK59" s="363"/>
      <c r="FL59" s="54"/>
      <c r="FM59" s="337"/>
      <c r="FN59" s="337"/>
      <c r="FO59" s="337"/>
      <c r="FP59" s="337"/>
      <c r="FQ59" s="337"/>
      <c r="FR59" s="337"/>
      <c r="FS59" s="337"/>
      <c r="FT59" s="337"/>
      <c r="FU59" s="337"/>
      <c r="FV59" s="337"/>
      <c r="FW59" s="337"/>
      <c r="FX59" s="337"/>
      <c r="FY59" s="360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  <c r="GQ59" s="360"/>
    </row>
    <row r="60" spans="1:199" s="3" customFormat="1" ht="13.8" x14ac:dyDescent="0.3">
      <c r="A60" s="17"/>
      <c r="B60" s="27" t="s">
        <v>66</v>
      </c>
      <c r="C60" s="319">
        <v>890.10096910670541</v>
      </c>
      <c r="D60" s="362">
        <v>709.73132754660355</v>
      </c>
      <c r="E60" s="362">
        <v>180.36964156010185</v>
      </c>
      <c r="F60" s="365">
        <v>0.25413791748999287</v>
      </c>
      <c r="G60" s="320"/>
      <c r="H60" s="319">
        <v>407.04453244399315</v>
      </c>
      <c r="I60" s="362">
        <v>302.6867951026104</v>
      </c>
      <c r="J60" s="365">
        <v>0.74362083501086773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2">
        <v>84.730133960000003</v>
      </c>
      <c r="FH60" s="362">
        <v>68.254814530000004</v>
      </c>
      <c r="FI60" s="362">
        <v>75.517134889999994</v>
      </c>
      <c r="FJ60" s="362">
        <v>66.129710509999995</v>
      </c>
      <c r="FK60" s="363"/>
      <c r="FL60" s="28">
        <v>232.17714112043535</v>
      </c>
      <c r="FM60" s="362">
        <v>273.80092270230767</v>
      </c>
      <c r="FN60" s="362">
        <v>431.073690034854</v>
      </c>
      <c r="FO60" s="362">
        <v>385.15510578044967</v>
      </c>
      <c r="FP60" s="362">
        <v>264.08356576355561</v>
      </c>
      <c r="FQ60" s="362">
        <v>244.86770039907461</v>
      </c>
      <c r="FR60" s="362">
        <v>139.47980093948686</v>
      </c>
      <c r="FS60" s="362">
        <v>221.48262348661353</v>
      </c>
      <c r="FT60" s="362">
        <v>285.86319148364112</v>
      </c>
      <c r="FU60" s="362">
        <v>358.80148952953846</v>
      </c>
      <c r="FV60" s="362">
        <v>439.35281387954348</v>
      </c>
      <c r="FW60" s="362">
        <v>798.16919961330905</v>
      </c>
      <c r="FX60" s="362">
        <v>890.10096910670552</v>
      </c>
      <c r="FY60" s="360"/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  <c r="GQ60" s="360"/>
    </row>
    <row r="61" spans="1:199" s="3" customFormat="1" ht="13.8" x14ac:dyDescent="0.3">
      <c r="A61" s="17"/>
      <c r="B61" s="21" t="s">
        <v>18</v>
      </c>
      <c r="C61" s="323">
        <v>255.39851404000004</v>
      </c>
      <c r="D61" s="364">
        <v>244.25028178017413</v>
      </c>
      <c r="E61" s="364">
        <v>11.148232259825903</v>
      </c>
      <c r="F61" s="361">
        <v>4.5642658745668675E-2</v>
      </c>
      <c r="G61" s="323"/>
      <c r="H61" s="323">
        <v>185.83112228190691</v>
      </c>
      <c r="I61" s="364">
        <v>58.41915949826722</v>
      </c>
      <c r="J61" s="361">
        <v>0.31436693047381487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4">
        <v>22.177062419999999</v>
      </c>
      <c r="FH61" s="364">
        <v>20.981163500000001</v>
      </c>
      <c r="FI61" s="364">
        <v>23.290868280000002</v>
      </c>
      <c r="FJ61" s="364">
        <v>20.179410669999999</v>
      </c>
      <c r="FK61" s="363"/>
      <c r="FL61" s="22">
        <v>72.443692709026521</v>
      </c>
      <c r="FM61" s="364">
        <v>94.797660803709874</v>
      </c>
      <c r="FN61" s="364">
        <v>120.48676955416077</v>
      </c>
      <c r="FO61" s="364">
        <v>137.4931290055633</v>
      </c>
      <c r="FP61" s="364">
        <v>117.34820679336696</v>
      </c>
      <c r="FQ61" s="364">
        <v>114.6757433087059</v>
      </c>
      <c r="FR61" s="364">
        <v>49.447665316663496</v>
      </c>
      <c r="FS61" s="364">
        <v>107.14995972237972</v>
      </c>
      <c r="FT61" s="364">
        <v>134.39025408431206</v>
      </c>
      <c r="FU61" s="364">
        <v>178.08384224401479</v>
      </c>
      <c r="FV61" s="364">
        <v>198.08779835980314</v>
      </c>
      <c r="FW61" s="364">
        <v>275.46028178017411</v>
      </c>
      <c r="FX61" s="364">
        <v>255.39851404000004</v>
      </c>
      <c r="FY61" s="360"/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  <c r="GQ61" s="360"/>
    </row>
    <row r="62" spans="1:199" s="3" customFormat="1" ht="13.8" x14ac:dyDescent="0.3">
      <c r="A62" s="17"/>
      <c r="B62" s="21" t="s">
        <v>19</v>
      </c>
      <c r="C62" s="364">
        <v>338.64840560999994</v>
      </c>
      <c r="D62" s="364">
        <v>264.48892762276284</v>
      </c>
      <c r="E62" s="364">
        <v>74.159477987237096</v>
      </c>
      <c r="F62" s="361">
        <v>0.28038783571692577</v>
      </c>
      <c r="G62" s="323"/>
      <c r="H62" s="364">
        <v>185.83112228190691</v>
      </c>
      <c r="I62" s="364">
        <v>78.65780534085593</v>
      </c>
      <c r="J62" s="361">
        <v>0.42327573753513459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4">
        <v>32.811292080000001</v>
      </c>
      <c r="FH62" s="364">
        <v>25.938399260000001</v>
      </c>
      <c r="FI62" s="364">
        <v>28.559096330000003</v>
      </c>
      <c r="FJ62" s="364">
        <v>25.398123939999998</v>
      </c>
      <c r="FK62" s="363"/>
      <c r="FL62" s="364">
        <v>68.195853937618253</v>
      </c>
      <c r="FM62" s="364">
        <v>86.271086925109657</v>
      </c>
      <c r="FN62" s="364">
        <v>102.31024503528539</v>
      </c>
      <c r="FO62" s="364">
        <v>106.82886945472626</v>
      </c>
      <c r="FP62" s="364">
        <v>146.42200314883866</v>
      </c>
      <c r="FQ62" s="364">
        <v>130.1919570903687</v>
      </c>
      <c r="FR62" s="364">
        <v>48.915015777039379</v>
      </c>
      <c r="FS62" s="364">
        <v>105.43097266167683</v>
      </c>
      <c r="FT62" s="364">
        <v>134.41199703276959</v>
      </c>
      <c r="FU62" s="364">
        <v>178.08384224401479</v>
      </c>
      <c r="FV62" s="364">
        <v>198.11637334591299</v>
      </c>
      <c r="FW62" s="364">
        <v>295.69892762276282</v>
      </c>
      <c r="FX62" s="364">
        <v>338.64840560999994</v>
      </c>
      <c r="FY62" s="360"/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  <c r="GQ62" s="360"/>
    </row>
    <row r="63" spans="1:199" s="3" customFormat="1" ht="13.8" x14ac:dyDescent="0.3">
      <c r="A63" s="17"/>
      <c r="B63" s="21" t="s">
        <v>20</v>
      </c>
      <c r="C63" s="364">
        <v>296.04617738999997</v>
      </c>
      <c r="D63" s="364">
        <v>184.66145847961639</v>
      </c>
      <c r="E63" s="364">
        <v>111.38471891038358</v>
      </c>
      <c r="F63" s="361">
        <v>0.6031833595784073</v>
      </c>
      <c r="G63" s="323"/>
      <c r="H63" s="364">
        <v>31.145656669999994</v>
      </c>
      <c r="I63" s="364">
        <v>153.51580180961639</v>
      </c>
      <c r="J63" s="361">
        <v>4.9289634004565821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4">
        <v>29.74177946</v>
      </c>
      <c r="FH63" s="364">
        <v>21.335251769999999</v>
      </c>
      <c r="FI63" s="364">
        <v>23.667170280000001</v>
      </c>
      <c r="FJ63" s="364">
        <v>20.552175899999998</v>
      </c>
      <c r="FK63" s="363"/>
      <c r="FL63" s="364">
        <v>29.214233135306557</v>
      </c>
      <c r="FM63" s="364">
        <v>42.736823833153217</v>
      </c>
      <c r="FN63" s="364">
        <v>63.93142425561534</v>
      </c>
      <c r="FO63" s="364">
        <v>65.969648892759977</v>
      </c>
      <c r="FP63" s="364">
        <v>0.31335582134999995</v>
      </c>
      <c r="FQ63" s="364">
        <v>0</v>
      </c>
      <c r="FR63" s="364">
        <v>0</v>
      </c>
      <c r="FS63" s="364">
        <v>0</v>
      </c>
      <c r="FT63" s="364">
        <v>0</v>
      </c>
      <c r="FU63" s="364">
        <v>0</v>
      </c>
      <c r="FV63" s="364">
        <v>38.773195369999996</v>
      </c>
      <c r="FW63" s="364">
        <v>210.67145847961638</v>
      </c>
      <c r="FX63" s="364">
        <v>296.04617738999997</v>
      </c>
      <c r="FY63" s="360"/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  <c r="GQ63" s="360"/>
    </row>
    <row r="64" spans="1:199" s="3" customFormat="1" ht="13.8" x14ac:dyDescent="0.3">
      <c r="A64" s="17"/>
      <c r="B64" s="21" t="s">
        <v>67</v>
      </c>
      <c r="C64" s="364">
        <v>7.87206670555771E-3</v>
      </c>
      <c r="D64" s="364">
        <v>16.330659664050145</v>
      </c>
      <c r="E64" s="364">
        <v>-16.322787597344586</v>
      </c>
      <c r="F64" s="361">
        <v>-0.99951795782488273</v>
      </c>
      <c r="G64" s="323"/>
      <c r="H64" s="364">
        <v>4.2366312101793131</v>
      </c>
      <c r="I64" s="364">
        <v>12.094028453870832</v>
      </c>
      <c r="J64" s="361">
        <v>2.8546332814649116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4">
        <v>0</v>
      </c>
      <c r="FH64" s="364">
        <v>0</v>
      </c>
      <c r="FI64" s="364">
        <v>0</v>
      </c>
      <c r="FJ64" s="364">
        <v>0</v>
      </c>
      <c r="FK64" s="363"/>
      <c r="FL64" s="364">
        <v>62.32336133848402</v>
      </c>
      <c r="FM64" s="364">
        <v>49.995351140334932</v>
      </c>
      <c r="FN64" s="364">
        <v>144.34525118979246</v>
      </c>
      <c r="FO64" s="364">
        <v>74.863458427400118</v>
      </c>
      <c r="FP64" s="364">
        <v>0</v>
      </c>
      <c r="FQ64" s="364">
        <v>0</v>
      </c>
      <c r="FR64" s="364">
        <v>41.117119845783982</v>
      </c>
      <c r="FS64" s="364">
        <v>8.9016911025569794</v>
      </c>
      <c r="FT64" s="364">
        <v>17.060940366559475</v>
      </c>
      <c r="FU64" s="364">
        <v>2.6338050415088903</v>
      </c>
      <c r="FV64" s="364">
        <v>4.3754468038273249</v>
      </c>
      <c r="FW64" s="364">
        <v>16.338531730755705</v>
      </c>
      <c r="FX64" s="364">
        <v>7.87206670555771E-3</v>
      </c>
      <c r="FY64" s="360"/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  <c r="GQ64" s="360"/>
    </row>
    <row r="65" spans="1:199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3"/>
      <c r="FL65" s="364"/>
      <c r="FM65" s="364"/>
      <c r="FN65" s="364"/>
      <c r="FO65" s="364"/>
      <c r="FP65" s="364"/>
      <c r="FQ65" s="364"/>
      <c r="FR65" s="364"/>
      <c r="FS65" s="364"/>
      <c r="FT65" s="364"/>
      <c r="FU65" s="364"/>
      <c r="FV65" s="364"/>
      <c r="FW65" s="364"/>
      <c r="FX65" s="364"/>
      <c r="FY65" s="360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  <c r="GQ65" s="360"/>
    </row>
    <row r="66" spans="1:199" s="3" customFormat="1" ht="13.8" x14ac:dyDescent="0.3">
      <c r="A66" s="17"/>
      <c r="B66" s="27" t="s">
        <v>38</v>
      </c>
      <c r="C66" s="319">
        <v>10.651677613572112</v>
      </c>
      <c r="D66" s="362">
        <v>47.98028465551392</v>
      </c>
      <c r="E66" s="362">
        <v>-37.328607041941808</v>
      </c>
      <c r="F66" s="365">
        <v>-0.77799886578313548</v>
      </c>
      <c r="G66" s="320"/>
      <c r="H66" s="319">
        <v>42.91264972365984</v>
      </c>
      <c r="I66" s="362">
        <v>5.0676349318540801</v>
      </c>
      <c r="J66" s="365">
        <v>0.11809186718805773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2">
        <v>0.10289657412413714</v>
      </c>
      <c r="FH66" s="362">
        <v>0</v>
      </c>
      <c r="FI66" s="362">
        <v>1.1092915807824951E-2</v>
      </c>
      <c r="FJ66" s="362">
        <v>1.1047250606470905E-2</v>
      </c>
      <c r="FK66" s="363"/>
      <c r="FL66" s="28">
        <v>4.8043639455426677</v>
      </c>
      <c r="FM66" s="362">
        <v>4.0783419194750747</v>
      </c>
      <c r="FN66" s="362">
        <v>1.5237380614952574</v>
      </c>
      <c r="FO66" s="362">
        <v>3.4224171480860166</v>
      </c>
      <c r="FP66" s="362">
        <v>12.693676069147756</v>
      </c>
      <c r="FQ66" s="362">
        <v>5.0087964549769541</v>
      </c>
      <c r="FR66" s="362">
        <v>4.1826558189139851</v>
      </c>
      <c r="FS66" s="362">
        <v>10.359795783413954</v>
      </c>
      <c r="FT66" s="362">
        <v>27.551747211980601</v>
      </c>
      <c r="FU66" s="362">
        <v>28.862356279359339</v>
      </c>
      <c r="FV66" s="362">
        <v>46.342494193346212</v>
      </c>
      <c r="FW66" s="362">
        <v>50.485293344127903</v>
      </c>
      <c r="FX66" s="362">
        <v>10.651677613572112</v>
      </c>
      <c r="FY66" s="360"/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  <c r="GQ66" s="360"/>
    </row>
    <row r="67" spans="1:199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37"/>
      <c r="FK67" s="363"/>
      <c r="FL67" s="54"/>
      <c r="FM67" s="337"/>
      <c r="FN67" s="337"/>
      <c r="FO67" s="337"/>
      <c r="FP67" s="337"/>
      <c r="FQ67" s="337"/>
      <c r="FR67" s="337"/>
      <c r="FS67" s="337"/>
      <c r="FT67" s="337"/>
      <c r="FU67" s="337"/>
      <c r="FV67" s="337"/>
      <c r="FW67" s="337"/>
      <c r="FX67" s="337"/>
      <c r="FY67" s="360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  <c r="GQ67" s="360"/>
    </row>
    <row r="68" spans="1:199" s="3" customFormat="1" ht="13.8" x14ac:dyDescent="0.3">
      <c r="A68" s="17"/>
      <c r="B68" s="27" t="s">
        <v>39</v>
      </c>
      <c r="C68" s="319">
        <v>226.64056095424974</v>
      </c>
      <c r="D68" s="362">
        <v>148.11010031407838</v>
      </c>
      <c r="E68" s="362">
        <v>78.530460640171356</v>
      </c>
      <c r="F68" s="365">
        <v>0.5302167811218933</v>
      </c>
      <c r="G68" s="320"/>
      <c r="H68" s="319">
        <v>109.6284313454216</v>
      </c>
      <c r="I68" s="362">
        <v>38.481668968656777</v>
      </c>
      <c r="J68" s="365">
        <v>0.35101906044251613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17.093163538731552</v>
      </c>
      <c r="EU68" s="362">
        <v>19.087414619708049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2.5542043710392495</v>
      </c>
      <c r="FA68" s="362">
        <v>7.6668141365789513</v>
      </c>
      <c r="FB68" s="362">
        <v>3.760439900751587</v>
      </c>
      <c r="FC68" s="362">
        <v>12.242147177147462</v>
      </c>
      <c r="FD68" s="362">
        <v>10.221551003251841</v>
      </c>
      <c r="FE68" s="362">
        <v>18.26980240322499</v>
      </c>
      <c r="FF68" s="362">
        <v>14.861753060954356</v>
      </c>
      <c r="FG68" s="362">
        <v>17.539332072602303</v>
      </c>
      <c r="FH68" s="362">
        <v>29.808346919375783</v>
      </c>
      <c r="FI68" s="362">
        <v>53.635875738770622</v>
      </c>
      <c r="FJ68" s="362">
        <v>56.080294170552591</v>
      </c>
      <c r="FK68" s="363"/>
      <c r="FL68" s="28">
        <v>75.782521088678195</v>
      </c>
      <c r="FM68" s="362">
        <v>42.583520472204221</v>
      </c>
      <c r="FN68" s="362">
        <v>51.770620724262663</v>
      </c>
      <c r="FO68" s="362">
        <v>53.096191747694249</v>
      </c>
      <c r="FP68" s="362">
        <v>57.633789863546724</v>
      </c>
      <c r="FQ68" s="362">
        <v>70.952982605152869</v>
      </c>
      <c r="FR68" s="362">
        <v>57.323768545682135</v>
      </c>
      <c r="FS68" s="362">
        <v>59.145145598582957</v>
      </c>
      <c r="FT68" s="362">
        <v>62.328485588457958</v>
      </c>
      <c r="FU68" s="362">
        <v>62.635337250215684</v>
      </c>
      <c r="FV68" s="362">
        <v>124.24463920137379</v>
      </c>
      <c r="FW68" s="362">
        <v>156.43384061303883</v>
      </c>
      <c r="FX68" s="362">
        <v>226.64056095424976</v>
      </c>
      <c r="FY68" s="360"/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  <c r="GQ68" s="360"/>
    </row>
    <row r="69" spans="1:199" s="3" customFormat="1" ht="13.8" x14ac:dyDescent="0.3">
      <c r="A69" s="17"/>
      <c r="B69" s="21" t="s">
        <v>68</v>
      </c>
      <c r="C69" s="323">
        <v>19.101453756794047</v>
      </c>
      <c r="D69" s="364">
        <v>32.487193917021486</v>
      </c>
      <c r="E69" s="364">
        <v>-13.385740160227439</v>
      </c>
      <c r="F69" s="361">
        <v>-0.41203128206200823</v>
      </c>
      <c r="G69" s="323"/>
      <c r="H69" s="323">
        <v>34.528994530211222</v>
      </c>
      <c r="I69" s="364">
        <v>-2.0418006131897357</v>
      </c>
      <c r="J69" s="361">
        <v>-5.9132929903396338E-2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2.1031122602111254</v>
      </c>
      <c r="FA69" s="364">
        <v>2.6105132129480451</v>
      </c>
      <c r="FB69" s="364">
        <v>2.6099672662997504</v>
      </c>
      <c r="FC69" s="364">
        <v>1.9520785517501076</v>
      </c>
      <c r="FD69" s="364">
        <v>5.877165748910044</v>
      </c>
      <c r="FE69" s="364">
        <v>0.55975670646170383</v>
      </c>
      <c r="FF69" s="364">
        <v>0.58074632113597902</v>
      </c>
      <c r="FG69" s="364">
        <v>0.69692602278748994</v>
      </c>
      <c r="FH69" s="364">
        <v>0.78053892057382956</v>
      </c>
      <c r="FI69" s="364">
        <v>0.70626535931643597</v>
      </c>
      <c r="FJ69" s="364">
        <v>0.62438338639953739</v>
      </c>
      <c r="FK69" s="363"/>
      <c r="FL69" s="22">
        <v>55.346058590706313</v>
      </c>
      <c r="FM69" s="364">
        <v>27.482457413191234</v>
      </c>
      <c r="FN69" s="364">
        <v>23.171685337474422</v>
      </c>
      <c r="FO69" s="364">
        <v>25.578330174848631</v>
      </c>
      <c r="FP69" s="364">
        <v>27.704657158641773</v>
      </c>
      <c r="FQ69" s="364">
        <v>29.931969096451766</v>
      </c>
      <c r="FR69" s="364">
        <v>27.898333326402742</v>
      </c>
      <c r="FS69" s="364">
        <v>29.3085316666882</v>
      </c>
      <c r="FT69" s="364">
        <v>29.035137976436207</v>
      </c>
      <c r="FU69" s="364">
        <v>33.865690254262098</v>
      </c>
      <c r="FV69" s="364">
        <v>38.511539786702407</v>
      </c>
      <c r="FW69" s="364">
        <v>35.915135259617095</v>
      </c>
      <c r="FX69" s="364">
        <v>19.101453756794047</v>
      </c>
      <c r="FY69" s="360"/>
      <c r="FZ69" s="360"/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  <c r="GP69" s="360"/>
      <c r="GQ69" s="360"/>
    </row>
    <row r="70" spans="1:199" s="3" customFormat="1" ht="13.8" x14ac:dyDescent="0.3">
      <c r="A70" s="17"/>
      <c r="B70" s="21" t="s">
        <v>69</v>
      </c>
      <c r="C70" s="364">
        <v>28.48901128982417</v>
      </c>
      <c r="D70" s="364">
        <v>49.356207100021656</v>
      </c>
      <c r="E70" s="364">
        <v>-20.867195810197487</v>
      </c>
      <c r="F70" s="361">
        <v>-0.42278767020953539</v>
      </c>
      <c r="G70" s="323"/>
      <c r="H70" s="364">
        <v>27.970456102037083</v>
      </c>
      <c r="I70" s="364">
        <v>21.385750997984573</v>
      </c>
      <c r="J70" s="361">
        <v>0.76458356345598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2.6913211619807633</v>
      </c>
      <c r="EU70" s="364">
        <v>8.5694583326351221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4.4801358603227719</v>
      </c>
      <c r="FB70" s="364">
        <v>0.37212091231258204</v>
      </c>
      <c r="FC70" s="364">
        <v>2.1154106290227945</v>
      </c>
      <c r="FD70" s="364">
        <v>2.0918805793455046</v>
      </c>
      <c r="FE70" s="364">
        <v>5.480124072334708</v>
      </c>
      <c r="FF70" s="364">
        <v>3.7924203398934182</v>
      </c>
      <c r="FG70" s="364">
        <v>2.3143839610714627</v>
      </c>
      <c r="FH70" s="364">
        <v>1.5446772991772233</v>
      </c>
      <c r="FI70" s="364">
        <v>3.9410325760955054</v>
      </c>
      <c r="FJ70" s="364">
        <v>2.1355405094691267</v>
      </c>
      <c r="FK70" s="363"/>
      <c r="FL70" s="364">
        <v>15.437186804405618</v>
      </c>
      <c r="FM70" s="364">
        <v>10.079473282169966</v>
      </c>
      <c r="FN70" s="364">
        <v>24.601618885427634</v>
      </c>
      <c r="FO70" s="364">
        <v>22.895983413568931</v>
      </c>
      <c r="FP70" s="364">
        <v>24.03949281710673</v>
      </c>
      <c r="FQ70" s="364">
        <v>33.612002412449371</v>
      </c>
      <c r="FR70" s="364">
        <v>24.18414896304245</v>
      </c>
      <c r="FS70" s="364">
        <v>23.160343251322871</v>
      </c>
      <c r="FT70" s="364">
        <v>28.093466905764362</v>
      </c>
      <c r="FU70" s="364">
        <v>22.561269826541942</v>
      </c>
      <c r="FV70" s="364">
        <v>30.947077361264981</v>
      </c>
      <c r="FW70" s="364">
        <v>53.6701252134188</v>
      </c>
      <c r="FX70" s="364">
        <v>28.48901128982417</v>
      </c>
      <c r="FY70" s="360"/>
      <c r="FZ70" s="360"/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  <c r="GP70" s="360"/>
      <c r="GQ70" s="360"/>
    </row>
    <row r="71" spans="1:199" s="3" customFormat="1" ht="13.8" x14ac:dyDescent="0.3">
      <c r="A71" s="17"/>
      <c r="B71" s="21" t="s">
        <v>70</v>
      </c>
      <c r="C71" s="364">
        <v>175.36429558711137</v>
      </c>
      <c r="D71" s="364">
        <v>61.678203047302894</v>
      </c>
      <c r="E71" s="364">
        <v>113.68609253980847</v>
      </c>
      <c r="F71" s="361">
        <v>1.8432134355895411</v>
      </c>
      <c r="G71" s="323"/>
      <c r="H71" s="364">
        <v>43.697329343410722</v>
      </c>
      <c r="I71" s="364">
        <v>17.980873703892172</v>
      </c>
      <c r="J71" s="361">
        <v>0.41148678818751594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0.17120156363355715</v>
      </c>
      <c r="FA71" s="364">
        <v>0.42919876602497897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4">
        <v>14.184605369060764</v>
      </c>
      <c r="FH71" s="364">
        <v>27.04742907803168</v>
      </c>
      <c r="FI71" s="364">
        <v>47.616976468470575</v>
      </c>
      <c r="FJ71" s="364">
        <v>53.261617526171896</v>
      </c>
      <c r="FK71" s="363"/>
      <c r="FL71" s="364">
        <v>2.958759794448885</v>
      </c>
      <c r="FM71" s="364">
        <v>2.9237843964498045</v>
      </c>
      <c r="FN71" s="364">
        <v>1.5108522305807852</v>
      </c>
      <c r="FO71" s="364">
        <v>3.2847638679805438</v>
      </c>
      <c r="FP71" s="364">
        <v>2.6750839013364329</v>
      </c>
      <c r="FQ71" s="364">
        <v>3.1507953464940508</v>
      </c>
      <c r="FR71" s="364">
        <v>3.1369857348824786</v>
      </c>
      <c r="FS71" s="364">
        <v>3.4845184417311792</v>
      </c>
      <c r="FT71" s="364">
        <v>2.7872800519524725</v>
      </c>
      <c r="FU71" s="364">
        <v>3.0551121314834777</v>
      </c>
      <c r="FV71" s="364">
        <v>51.199634228480143</v>
      </c>
      <c r="FW71" s="364">
        <v>62.138681443232613</v>
      </c>
      <c r="FX71" s="364">
        <v>175.36429558711137</v>
      </c>
      <c r="FY71" s="360"/>
      <c r="FZ71" s="360"/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  <c r="GP71" s="360"/>
      <c r="GQ71" s="360"/>
    </row>
    <row r="72" spans="1:199" s="3" customFormat="1" ht="13.8" x14ac:dyDescent="0.3">
      <c r="A72" s="17"/>
      <c r="B72" s="21" t="s">
        <v>71</v>
      </c>
      <c r="C72" s="364">
        <v>3.685800320520169</v>
      </c>
      <c r="D72" s="364">
        <v>4.5884962497322981</v>
      </c>
      <c r="E72" s="364">
        <v>-0.90269592921212904</v>
      </c>
      <c r="F72" s="361">
        <v>-0.1967302314488748</v>
      </c>
      <c r="G72" s="323"/>
      <c r="H72" s="364">
        <v>3.4316513697625877</v>
      </c>
      <c r="I72" s="364">
        <v>1.1568448799697104</v>
      </c>
      <c r="J72" s="361">
        <v>0.33711025839135417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5.860599641549398E-2</v>
      </c>
      <c r="FA72" s="364">
        <v>0.146966297283155</v>
      </c>
      <c r="FB72" s="364">
        <v>0.60574652073564283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4">
        <v>0.34341671968258614</v>
      </c>
      <c r="FH72" s="364">
        <v>0.43570162159305131</v>
      </c>
      <c r="FI72" s="364">
        <v>1.3716013348881075</v>
      </c>
      <c r="FJ72" s="364">
        <v>5.8752748512030689E-2</v>
      </c>
      <c r="FK72" s="363"/>
      <c r="FL72" s="364">
        <v>2.0405158991173828</v>
      </c>
      <c r="FM72" s="364">
        <v>2.0978053803932206</v>
      </c>
      <c r="FN72" s="364">
        <v>2.4864642707798197</v>
      </c>
      <c r="FO72" s="364">
        <v>1.337114291296148</v>
      </c>
      <c r="FP72" s="364">
        <v>3.214555986461793</v>
      </c>
      <c r="FQ72" s="364">
        <v>4.2582157497576807</v>
      </c>
      <c r="FR72" s="364">
        <v>2.1043005213544612</v>
      </c>
      <c r="FS72" s="364">
        <v>3.1917522388407042</v>
      </c>
      <c r="FT72" s="364">
        <v>2.4126006543049194</v>
      </c>
      <c r="FU72" s="364">
        <v>3.1532650379281688</v>
      </c>
      <c r="FV72" s="364">
        <v>3.5863878249262422</v>
      </c>
      <c r="FW72" s="364">
        <v>4.7098986967703018</v>
      </c>
      <c r="FX72" s="364">
        <v>3.685800320520169</v>
      </c>
      <c r="FY72" s="360"/>
      <c r="FZ72" s="360"/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  <c r="GP72" s="360"/>
      <c r="GQ72" s="360"/>
    </row>
    <row r="73" spans="1:199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3"/>
      <c r="FL73" s="22"/>
      <c r="FM73" s="364"/>
      <c r="FN73" s="364"/>
      <c r="FO73" s="364"/>
      <c r="FP73" s="364"/>
      <c r="FQ73" s="364"/>
      <c r="FR73" s="364"/>
      <c r="FS73" s="364"/>
      <c r="FT73" s="364"/>
      <c r="FU73" s="364"/>
      <c r="FV73" s="364"/>
      <c r="FW73" s="364"/>
      <c r="FX73" s="364"/>
      <c r="FY73" s="360"/>
      <c r="FZ73" s="360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  <c r="GP73" s="360"/>
      <c r="GQ73" s="360"/>
    </row>
    <row r="74" spans="1:199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2">
        <v>0</v>
      </c>
      <c r="FH74" s="362">
        <v>0</v>
      </c>
      <c r="FI74" s="362">
        <v>0</v>
      </c>
      <c r="FJ74" s="362">
        <v>0</v>
      </c>
      <c r="FK74" s="363"/>
      <c r="FL74" s="28">
        <v>4.8149636899980415</v>
      </c>
      <c r="FM74" s="362">
        <v>10.281042087447339</v>
      </c>
      <c r="FN74" s="362">
        <v>6.5625062123912805</v>
      </c>
      <c r="FO74" s="362">
        <v>19.14585090902003</v>
      </c>
      <c r="FP74" s="362">
        <v>21.693988942188909</v>
      </c>
      <c r="FQ74" s="362">
        <v>1.0641619151168202</v>
      </c>
      <c r="FR74" s="362">
        <v>25.43185027711662</v>
      </c>
      <c r="FS74" s="362">
        <v>11.892365148557928</v>
      </c>
      <c r="FT74" s="362">
        <v>9.626929434843035</v>
      </c>
      <c r="FU74" s="362">
        <v>0.57237956352852992</v>
      </c>
      <c r="FV74" s="362">
        <v>0</v>
      </c>
      <c r="FW74" s="362">
        <v>0</v>
      </c>
      <c r="FX74" s="362">
        <v>0</v>
      </c>
      <c r="FY74" s="360"/>
      <c r="FZ74" s="360"/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  <c r="GP74" s="360"/>
      <c r="GQ74" s="360"/>
    </row>
    <row r="75" spans="1:199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4">
        <v>0</v>
      </c>
      <c r="FH75" s="364">
        <v>0</v>
      </c>
      <c r="FI75" s="364">
        <v>0</v>
      </c>
      <c r="FJ75" s="364">
        <v>0</v>
      </c>
      <c r="FK75" s="363"/>
      <c r="FL75" s="22">
        <v>4.8149636899980415</v>
      </c>
      <c r="FM75" s="364">
        <v>10.281042087447339</v>
      </c>
      <c r="FN75" s="364">
        <v>6.5625062123912805</v>
      </c>
      <c r="FO75" s="364">
        <v>19.14585090902003</v>
      </c>
      <c r="FP75" s="364">
        <v>21.693988942188909</v>
      </c>
      <c r="FQ75" s="364">
        <v>1.0641619151168202</v>
      </c>
      <c r="FR75" s="364">
        <v>25.43185027711662</v>
      </c>
      <c r="FS75" s="364">
        <v>11.892365148557928</v>
      </c>
      <c r="FT75" s="364">
        <v>9.626929434843035</v>
      </c>
      <c r="FU75" s="364">
        <v>0.57237956352852992</v>
      </c>
      <c r="FV75" s="364">
        <v>0</v>
      </c>
      <c r="FW75" s="364">
        <v>0</v>
      </c>
      <c r="FX75" s="364">
        <v>0</v>
      </c>
      <c r="FY75" s="360"/>
      <c r="FZ75" s="360"/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  <c r="GP75" s="360"/>
      <c r="GQ75" s="360"/>
    </row>
    <row r="76" spans="1:199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3"/>
      <c r="FL76" s="22"/>
      <c r="FM76" s="364"/>
      <c r="FN76" s="364"/>
      <c r="FO76" s="364"/>
      <c r="FP76" s="364"/>
      <c r="FQ76" s="364"/>
      <c r="FR76" s="364"/>
      <c r="FS76" s="364"/>
      <c r="FT76" s="364"/>
      <c r="FU76" s="364"/>
      <c r="FV76" s="364"/>
      <c r="FW76" s="364"/>
      <c r="FX76" s="364"/>
      <c r="FY76" s="360"/>
      <c r="FZ76" s="360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  <c r="GP76" s="360"/>
      <c r="GQ76" s="360"/>
    </row>
    <row r="77" spans="1:199" s="3" customFormat="1" ht="13.8" x14ac:dyDescent="0.3">
      <c r="A77" s="17"/>
      <c r="B77" s="27" t="s">
        <v>74</v>
      </c>
      <c r="C77" s="319">
        <v>3.7520592531688433</v>
      </c>
      <c r="D77" s="362">
        <v>119.84982470941256</v>
      </c>
      <c r="E77" s="362">
        <v>-116.09776545624372</v>
      </c>
      <c r="F77" s="365">
        <v>-0.96869366090216602</v>
      </c>
      <c r="G77" s="320"/>
      <c r="H77" s="319">
        <v>145.45956274480491</v>
      </c>
      <c r="I77" s="362">
        <v>-25.609738035392354</v>
      </c>
      <c r="J77" s="365">
        <v>-0.17606087597226058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0.50698812946668315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2">
        <v>0</v>
      </c>
      <c r="FH77" s="362">
        <v>6.5432678517944294E-3</v>
      </c>
      <c r="FI77" s="362">
        <v>0</v>
      </c>
      <c r="FJ77" s="362">
        <v>0</v>
      </c>
      <c r="FK77" s="363"/>
      <c r="FL77" s="28">
        <v>8.8369589404701774</v>
      </c>
      <c r="FM77" s="362">
        <v>7.8115491258842935</v>
      </c>
      <c r="FN77" s="362">
        <v>7.3939164690554451</v>
      </c>
      <c r="FO77" s="362">
        <v>19.017192287803361</v>
      </c>
      <c r="FP77" s="362">
        <v>23.326938477371268</v>
      </c>
      <c r="FQ77" s="362">
        <v>322.19298284963821</v>
      </c>
      <c r="FR77" s="362">
        <v>348.43329346034409</v>
      </c>
      <c r="FS77" s="362">
        <v>617.69292277328782</v>
      </c>
      <c r="FT77" s="362">
        <v>756.52103615706426</v>
      </c>
      <c r="FU77" s="362">
        <v>432.80599767313498</v>
      </c>
      <c r="FV77" s="362">
        <v>150.42475853219563</v>
      </c>
      <c r="FW77" s="362">
        <v>120.67799259988404</v>
      </c>
      <c r="FX77" s="362">
        <v>0</v>
      </c>
      <c r="FY77" s="360"/>
      <c r="FZ77" s="360"/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  <c r="GP77" s="360"/>
      <c r="GQ77" s="360"/>
    </row>
    <row r="78" spans="1:199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363"/>
      <c r="FL78" s="429"/>
      <c r="FM78" s="429"/>
      <c r="FN78" s="429"/>
      <c r="FO78" s="429"/>
      <c r="FP78" s="429"/>
      <c r="FQ78" s="429"/>
      <c r="FR78" s="429"/>
      <c r="FS78" s="429"/>
      <c r="FT78" s="429"/>
      <c r="FU78" s="429"/>
      <c r="FV78" s="429"/>
      <c r="FW78" s="429"/>
      <c r="FX78" s="429"/>
      <c r="FY78" s="360"/>
      <c r="FZ78" s="360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  <c r="GP78" s="360"/>
      <c r="GQ78" s="360"/>
    </row>
    <row r="79" spans="1:199" s="3" customFormat="1" ht="13.8" x14ac:dyDescent="0.3">
      <c r="A79" s="17"/>
      <c r="B79" s="27" t="s">
        <v>315</v>
      </c>
      <c r="C79" s="325">
        <v>715.13636363636363</v>
      </c>
      <c r="D79" s="367">
        <v>1453.787878787879</v>
      </c>
      <c r="E79" s="367">
        <v>-738.65151515151535</v>
      </c>
      <c r="F79" s="365">
        <v>-0.50808754559666502</v>
      </c>
      <c r="G79" s="320"/>
      <c r="H79" s="325">
        <v>1468.5454545454545</v>
      </c>
      <c r="I79" s="367">
        <v>-14.757575757575523</v>
      </c>
      <c r="J79" s="365">
        <v>-1.0049110643390539E-2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7">
        <v>316</v>
      </c>
      <c r="FH79" s="367">
        <v>326</v>
      </c>
      <c r="FI79" s="367">
        <v>325</v>
      </c>
      <c r="FJ79" s="367">
        <v>325</v>
      </c>
      <c r="FK79" s="363"/>
      <c r="FL79" s="49">
        <v>3655.9166666666665</v>
      </c>
      <c r="FM79" s="367">
        <v>1553.1666666666665</v>
      </c>
      <c r="FN79" s="367">
        <v>1346.3333333333333</v>
      </c>
      <c r="FO79" s="367">
        <v>1337.9999999999998</v>
      </c>
      <c r="FP79" s="367">
        <v>1581.25</v>
      </c>
      <c r="FQ79" s="367">
        <v>1571.5833333333333</v>
      </c>
      <c r="FR79" s="367">
        <v>1575.5833333333335</v>
      </c>
      <c r="FS79" s="367">
        <v>1469.25</v>
      </c>
      <c r="FT79" s="367">
        <v>1490.125</v>
      </c>
      <c r="FU79" s="367">
        <v>1502.0833333333333</v>
      </c>
      <c r="FV79" s="367">
        <v>1474.6666666666665</v>
      </c>
      <c r="FW79" s="367">
        <v>1448.5555555555557</v>
      </c>
      <c r="FX79" s="367">
        <v>715.13636363636363</v>
      </c>
      <c r="FY79" s="360"/>
      <c r="FZ79" s="360"/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  <c r="GP79" s="360"/>
      <c r="GQ79" s="360"/>
    </row>
    <row r="80" spans="1:199" s="3" customFormat="1" ht="13.8" x14ac:dyDescent="0.3">
      <c r="A80" s="17"/>
      <c r="B80" s="21" t="s">
        <v>316</v>
      </c>
      <c r="C80" s="326">
        <v>520.36363636363637</v>
      </c>
      <c r="D80" s="330">
        <v>983.90909090909088</v>
      </c>
      <c r="E80" s="330">
        <v>-463.5454545454545</v>
      </c>
      <c r="F80" s="361">
        <v>-0.47112630509100983</v>
      </c>
      <c r="G80" s="323"/>
      <c r="H80" s="326">
        <v>963.18181818181813</v>
      </c>
      <c r="I80" s="330">
        <v>20.727272727272748</v>
      </c>
      <c r="J80" s="361">
        <v>2.151958470976878E-2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30">
        <v>312</v>
      </c>
      <c r="FH80" s="330">
        <v>322</v>
      </c>
      <c r="FI80" s="330">
        <v>321</v>
      </c>
      <c r="FJ80" s="330">
        <v>321</v>
      </c>
      <c r="FK80" s="363"/>
      <c r="FL80" s="50">
        <v>1396.4166666666667</v>
      </c>
      <c r="FM80" s="330">
        <v>917.75</v>
      </c>
      <c r="FN80" s="330">
        <v>863.08333333333337</v>
      </c>
      <c r="FO80" s="330">
        <v>849.16666666666663</v>
      </c>
      <c r="FP80" s="330">
        <v>1084.75</v>
      </c>
      <c r="FQ80" s="330">
        <v>1072.5833333333333</v>
      </c>
      <c r="FR80" s="330">
        <v>1071.9166666666667</v>
      </c>
      <c r="FS80" s="330">
        <v>975</v>
      </c>
      <c r="FT80" s="330">
        <v>1007.25</v>
      </c>
      <c r="FU80" s="330">
        <v>1019.75</v>
      </c>
      <c r="FV80" s="330">
        <v>968.91666666666663</v>
      </c>
      <c r="FW80" s="330">
        <v>973.75</v>
      </c>
      <c r="FX80" s="330">
        <v>520.36363636363637</v>
      </c>
      <c r="FY80" s="360"/>
      <c r="FZ80" s="360"/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  <c r="GP80" s="360"/>
      <c r="GQ80" s="360"/>
    </row>
    <row r="81" spans="1:199" s="3" customFormat="1" ht="13.8" x14ac:dyDescent="0.3">
      <c r="A81" s="17"/>
      <c r="B81" s="21" t="s">
        <v>75</v>
      </c>
      <c r="C81" s="330">
        <v>194.77272727272728</v>
      </c>
      <c r="D81" s="330">
        <v>469.87878787878793</v>
      </c>
      <c r="E81" s="330">
        <v>-275.10606060606062</v>
      </c>
      <c r="F81" s="361">
        <v>-0.58548303882368113</v>
      </c>
      <c r="G81" s="323"/>
      <c r="H81" s="330">
        <v>505.36363636363637</v>
      </c>
      <c r="I81" s="330">
        <v>-35.484848484848442</v>
      </c>
      <c r="J81" s="361">
        <v>-7.0216465791209368E-2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30">
        <v>4</v>
      </c>
      <c r="FH81" s="330">
        <v>4</v>
      </c>
      <c r="FI81" s="330">
        <v>4</v>
      </c>
      <c r="FJ81" s="330">
        <v>4</v>
      </c>
      <c r="FK81" s="363"/>
      <c r="FL81" s="330">
        <v>646.25</v>
      </c>
      <c r="FM81" s="330">
        <v>558.91666666666663</v>
      </c>
      <c r="FN81" s="330">
        <v>480.16666666666669</v>
      </c>
      <c r="FO81" s="330">
        <v>487.25</v>
      </c>
      <c r="FP81" s="330">
        <v>495.5</v>
      </c>
      <c r="FQ81" s="330">
        <v>498.75</v>
      </c>
      <c r="FR81" s="330">
        <v>502.66666666666669</v>
      </c>
      <c r="FS81" s="330">
        <v>494</v>
      </c>
      <c r="FT81" s="330">
        <v>482.875</v>
      </c>
      <c r="FU81" s="330">
        <v>482.33333333333331</v>
      </c>
      <c r="FV81" s="330">
        <v>505.75</v>
      </c>
      <c r="FW81" s="330">
        <v>474.8055555555556</v>
      </c>
      <c r="FX81" s="330">
        <v>194.77272727272728</v>
      </c>
      <c r="FY81" s="360"/>
      <c r="FZ81" s="360"/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  <c r="GP81" s="360"/>
      <c r="GQ81" s="360"/>
    </row>
    <row r="82" spans="1:199" s="3" customFormat="1" ht="13.8" x14ac:dyDescent="0.3">
      <c r="A82" s="17"/>
      <c r="B82" s="21" t="s">
        <v>76</v>
      </c>
      <c r="C82" s="330">
        <v>0</v>
      </c>
      <c r="D82" s="330">
        <v>0</v>
      </c>
      <c r="E82" s="330">
        <v>0</v>
      </c>
      <c r="F82" s="330">
        <v>0</v>
      </c>
      <c r="G82" s="323"/>
      <c r="H82" s="330">
        <v>0</v>
      </c>
      <c r="I82" s="330">
        <v>0</v>
      </c>
      <c r="J82" s="330"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30">
        <v>0</v>
      </c>
      <c r="FH82" s="330">
        <v>0</v>
      </c>
      <c r="FI82" s="330">
        <v>0</v>
      </c>
      <c r="FJ82" s="330">
        <v>0</v>
      </c>
      <c r="FK82" s="363"/>
      <c r="FL82" s="330">
        <v>989.83333333333337</v>
      </c>
      <c r="FM82" s="330">
        <v>0</v>
      </c>
      <c r="FN82" s="330">
        <v>0</v>
      </c>
      <c r="FO82" s="330">
        <v>0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30">
        <v>0</v>
      </c>
      <c r="FV82" s="330">
        <v>0</v>
      </c>
      <c r="FW82" s="330">
        <v>0</v>
      </c>
      <c r="FX82" s="330">
        <v>0</v>
      </c>
      <c r="FY82" s="360"/>
      <c r="FZ82" s="360"/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  <c r="GP82" s="360"/>
      <c r="GQ82" s="360"/>
    </row>
    <row r="83" spans="1:199" s="3" customFormat="1" ht="13.8" x14ac:dyDescent="0.3">
      <c r="A83" s="17"/>
      <c r="B83" s="21" t="s">
        <v>77</v>
      </c>
      <c r="C83" s="330">
        <v>0</v>
      </c>
      <c r="D83" s="330">
        <v>0</v>
      </c>
      <c r="E83" s="330">
        <v>0</v>
      </c>
      <c r="F83" s="330">
        <v>0</v>
      </c>
      <c r="G83" s="323"/>
      <c r="H83" s="330">
        <v>0</v>
      </c>
      <c r="I83" s="330">
        <v>0</v>
      </c>
      <c r="J83" s="330"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30">
        <v>0</v>
      </c>
      <c r="FH83" s="330">
        <v>0</v>
      </c>
      <c r="FI83" s="330">
        <v>0</v>
      </c>
      <c r="FJ83" s="330">
        <v>0</v>
      </c>
      <c r="FK83" s="363"/>
      <c r="FL83" s="330">
        <v>623.41666666666663</v>
      </c>
      <c r="FM83" s="330">
        <v>76.5</v>
      </c>
      <c r="FN83" s="330">
        <v>3.0833333333333335</v>
      </c>
      <c r="FO83" s="330">
        <v>1.5833333333333333</v>
      </c>
      <c r="FP83" s="330">
        <v>1</v>
      </c>
      <c r="FQ83" s="330">
        <v>0.25</v>
      </c>
      <c r="FR83" s="330">
        <v>1</v>
      </c>
      <c r="FS83" s="330">
        <v>0.25</v>
      </c>
      <c r="FT83" s="330">
        <v>0</v>
      </c>
      <c r="FU83" s="330">
        <v>0</v>
      </c>
      <c r="FV83" s="330">
        <v>0</v>
      </c>
      <c r="FW83" s="330">
        <v>0</v>
      </c>
      <c r="FX83" s="330">
        <v>0</v>
      </c>
      <c r="FY83" s="360"/>
      <c r="FZ83" s="360"/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  <c r="GP83" s="360"/>
      <c r="GQ83" s="360"/>
    </row>
    <row r="84" spans="1:199" s="3" customFormat="1" ht="13.8" x14ac:dyDescent="0.3">
      <c r="A84" s="17"/>
      <c r="B84" s="21" t="s">
        <v>78</v>
      </c>
      <c r="C84" s="330">
        <v>0</v>
      </c>
      <c r="D84" s="330">
        <v>0</v>
      </c>
      <c r="E84" s="330">
        <v>0</v>
      </c>
      <c r="F84" s="330">
        <v>0</v>
      </c>
      <c r="G84" s="323"/>
      <c r="H84" s="330">
        <v>0</v>
      </c>
      <c r="I84" s="330">
        <v>0</v>
      </c>
      <c r="J84" s="330"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30">
        <v>0</v>
      </c>
      <c r="FH84" s="330">
        <v>0</v>
      </c>
      <c r="FI84" s="330">
        <v>0</v>
      </c>
      <c r="FJ84" s="330">
        <v>0</v>
      </c>
      <c r="FK84" s="363"/>
      <c r="FL84" s="330">
        <v>1038.5</v>
      </c>
      <c r="FM84" s="330">
        <v>0</v>
      </c>
      <c r="FN84" s="330">
        <v>0</v>
      </c>
      <c r="FO84" s="330">
        <v>0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30">
        <v>0</v>
      </c>
      <c r="FV84" s="330">
        <v>0</v>
      </c>
      <c r="FW84" s="330">
        <v>0</v>
      </c>
      <c r="FX84" s="330">
        <v>0</v>
      </c>
      <c r="FY84" s="360"/>
      <c r="FZ84" s="360"/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  <c r="GP84" s="360"/>
      <c r="GQ84" s="360"/>
    </row>
    <row r="85" spans="1:199" s="3" customFormat="1" ht="13.8" x14ac:dyDescent="0.3">
      <c r="A85" s="17"/>
      <c r="B85" s="21" t="s">
        <v>79</v>
      </c>
      <c r="C85" s="330">
        <v>121.36363636363636</v>
      </c>
      <c r="D85" s="330">
        <v>270.18181818181819</v>
      </c>
      <c r="E85" s="330">
        <v>-148.81818181818181</v>
      </c>
      <c r="F85" s="330">
        <v>-0.55080753701211305</v>
      </c>
      <c r="G85" s="323"/>
      <c r="H85" s="330">
        <v>304.81818181818181</v>
      </c>
      <c r="I85" s="330">
        <v>-34.636363636363626</v>
      </c>
      <c r="J85" s="330">
        <v>-0.11362958544586933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30">
        <v>89</v>
      </c>
      <c r="FH85" s="330">
        <v>89</v>
      </c>
      <c r="FI85" s="330">
        <v>89</v>
      </c>
      <c r="FJ85" s="330">
        <v>89</v>
      </c>
      <c r="FK85" s="363"/>
      <c r="FL85" s="330">
        <v>573.5</v>
      </c>
      <c r="FM85" s="330">
        <v>621.91666666666663</v>
      </c>
      <c r="FN85" s="330">
        <v>747.08333333333337</v>
      </c>
      <c r="FO85" s="330">
        <v>951.16666666666663</v>
      </c>
      <c r="FP85" s="330">
        <v>897.91666666666663</v>
      </c>
      <c r="FQ85" s="330">
        <v>842.66666666666663</v>
      </c>
      <c r="FR85" s="330">
        <v>464.25</v>
      </c>
      <c r="FS85" s="330">
        <v>192.25</v>
      </c>
      <c r="FT85" s="330">
        <v>229.33333333333334</v>
      </c>
      <c r="FU85" s="330">
        <v>258.5</v>
      </c>
      <c r="FV85" s="330">
        <v>309.41666666666669</v>
      </c>
      <c r="FW85" s="330">
        <v>260.58333333333331</v>
      </c>
      <c r="FX85" s="330">
        <v>121.36363636363636</v>
      </c>
      <c r="FY85" s="360"/>
      <c r="FZ85" s="360"/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  <c r="GP85" s="360"/>
      <c r="GQ85" s="360"/>
    </row>
    <row r="86" spans="1:199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J86" s="363"/>
      <c r="FK86" s="363"/>
      <c r="FS86" s="3"/>
      <c r="FT86" s="360"/>
      <c r="FU86" s="360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  <c r="GI86" s="360"/>
      <c r="GJ86" s="360"/>
    </row>
    <row r="87" spans="1:199" ht="13.8" x14ac:dyDescent="0.3">
      <c r="A87" s="46"/>
      <c r="FS87" s="3"/>
      <c r="FY87" s="358"/>
      <c r="FZ87" s="358"/>
      <c r="GA87" s="358"/>
      <c r="GB87" s="358"/>
      <c r="GC87" s="358"/>
      <c r="GD87" s="358"/>
    </row>
    <row r="88" spans="1:199" ht="13.8" x14ac:dyDescent="0.3">
      <c r="FS88" s="3"/>
    </row>
    <row r="89" spans="1:199" ht="12.75" customHeight="1" x14ac:dyDescent="0.3">
      <c r="FS89" s="3"/>
    </row>
    <row r="90" spans="1:199" ht="12.75" customHeight="1" x14ac:dyDescent="0.3">
      <c r="FS90" s="3"/>
    </row>
    <row r="91" spans="1:199" ht="12.75" hidden="1" customHeight="1" x14ac:dyDescent="0.3">
      <c r="FS91" s="3"/>
    </row>
    <row r="92" spans="1:199" ht="12.75" hidden="1" customHeight="1" x14ac:dyDescent="0.3">
      <c r="FS92" s="3"/>
    </row>
    <row r="93" spans="1:199" ht="12.75" hidden="1" customHeight="1" x14ac:dyDescent="0.3">
      <c r="FS93" s="3"/>
    </row>
    <row r="94" spans="1:199" ht="12.75" hidden="1" customHeight="1" x14ac:dyDescent="0.3">
      <c r="FS94" s="3"/>
    </row>
    <row r="95" spans="1:199" ht="12.75" hidden="1" customHeight="1" x14ac:dyDescent="0.3">
      <c r="FS95" s="3"/>
    </row>
    <row r="96" spans="1:199" ht="12.75" hidden="1" customHeight="1" x14ac:dyDescent="0.3">
      <c r="FS96" s="3"/>
    </row>
    <row r="97" spans="175:175" ht="12.75" hidden="1" customHeight="1" x14ac:dyDescent="0.3">
      <c r="FS97" s="3"/>
    </row>
    <row r="98" spans="175:175" ht="12.75" hidden="1" customHeight="1" x14ac:dyDescent="0.3">
      <c r="FS98" s="3"/>
    </row>
    <row r="99" spans="175:175" ht="12.75" hidden="1" customHeight="1" x14ac:dyDescent="0.3">
      <c r="FS99" s="3"/>
    </row>
    <row r="100" spans="175:175" ht="12.75" hidden="1" customHeight="1" x14ac:dyDescent="0.3">
      <c r="FS100" s="3"/>
    </row>
    <row r="101" spans="175:175" ht="12.75" hidden="1" customHeight="1" x14ac:dyDescent="0.3">
      <c r="FS101" s="3"/>
    </row>
    <row r="102" spans="175:175" ht="12.75" hidden="1" customHeight="1" x14ac:dyDescent="0.3">
      <c r="FS102" s="3"/>
    </row>
    <row r="103" spans="175:175" ht="12.75" hidden="1" customHeight="1" x14ac:dyDescent="0.3">
      <c r="FS103" s="3"/>
    </row>
    <row r="104" spans="175:175" ht="12.75" hidden="1" customHeight="1" x14ac:dyDescent="0.3">
      <c r="FS104" s="3"/>
    </row>
    <row r="105" spans="175:175" ht="12.75" hidden="1" customHeight="1" x14ac:dyDescent="0.3">
      <c r="FS105" s="3"/>
    </row>
    <row r="106" spans="175:175" ht="12.75" hidden="1" customHeight="1" x14ac:dyDescent="0.3">
      <c r="FS106" s="3"/>
    </row>
    <row r="107" spans="175:175" ht="12.75" hidden="1" customHeight="1" x14ac:dyDescent="0.3">
      <c r="FS107" s="3"/>
    </row>
    <row r="108" spans="175:175" ht="12.75" hidden="1" customHeight="1" x14ac:dyDescent="0.3">
      <c r="FS108" s="3"/>
    </row>
    <row r="109" spans="175:175" ht="12.75" hidden="1" customHeight="1" x14ac:dyDescent="0.3">
      <c r="FS109" s="3"/>
    </row>
    <row r="110" spans="175:175" ht="12.75" hidden="1" customHeight="1" x14ac:dyDescent="0.3">
      <c r="FS110" s="3"/>
    </row>
    <row r="111" spans="175:175" ht="12.75" hidden="1" customHeight="1" x14ac:dyDescent="0.3">
      <c r="FS111" s="3"/>
    </row>
    <row r="112" spans="175:175" ht="12.75" hidden="1" customHeight="1" x14ac:dyDescent="0.3">
      <c r="FS112" s="3"/>
    </row>
    <row r="113" spans="175:175" ht="12.75" hidden="1" customHeight="1" x14ac:dyDescent="0.3">
      <c r="FS113" s="3"/>
    </row>
    <row r="114" spans="175:175" ht="12.75" hidden="1" customHeight="1" x14ac:dyDescent="0.3">
      <c r="FS114" s="3"/>
    </row>
    <row r="115" spans="175:175" ht="12.75" hidden="1" customHeight="1" x14ac:dyDescent="0.3">
      <c r="FS115" s="3"/>
    </row>
    <row r="116" spans="175:175" ht="12.75" hidden="1" customHeight="1" x14ac:dyDescent="0.3">
      <c r="FS116" s="3"/>
    </row>
    <row r="117" spans="175:175" ht="12.75" hidden="1" customHeight="1" x14ac:dyDescent="0.3">
      <c r="FS117" s="3"/>
    </row>
    <row r="118" spans="175:175" ht="12.75" hidden="1" customHeight="1" x14ac:dyDescent="0.3">
      <c r="FS118" s="3"/>
    </row>
    <row r="119" spans="175:175" ht="12.75" hidden="1" customHeight="1" x14ac:dyDescent="0.3">
      <c r="FS119" s="3"/>
    </row>
    <row r="120" spans="175:175" ht="12.75" hidden="1" customHeight="1" x14ac:dyDescent="0.3">
      <c r="FS120" s="3"/>
    </row>
    <row r="121" spans="175:175" ht="12.75" hidden="1" customHeight="1" x14ac:dyDescent="0.3">
      <c r="FS121" s="3"/>
    </row>
    <row r="122" spans="175:175" ht="12.75" hidden="1" customHeight="1" x14ac:dyDescent="0.3">
      <c r="FS122" s="3"/>
    </row>
    <row r="123" spans="175:175" ht="12.75" hidden="1" customHeight="1" x14ac:dyDescent="0.3">
      <c r="FS123" s="3"/>
    </row>
    <row r="124" spans="175:175" ht="12.75" hidden="1" customHeight="1" x14ac:dyDescent="0.3">
      <c r="FS124" s="3"/>
    </row>
    <row r="125" spans="175:175" ht="12.75" hidden="1" customHeight="1" x14ac:dyDescent="0.3">
      <c r="FS125" s="3"/>
    </row>
    <row r="126" spans="175:175" ht="12.75" hidden="1" customHeight="1" x14ac:dyDescent="0.3">
      <c r="FS126" s="3"/>
    </row>
    <row r="127" spans="175:175" ht="12.75" hidden="1" customHeight="1" x14ac:dyDescent="0.3">
      <c r="FS127" s="3"/>
    </row>
    <row r="128" spans="175:175" ht="12.75" hidden="1" customHeight="1" x14ac:dyDescent="0.3">
      <c r="FS128" s="3"/>
    </row>
    <row r="129" spans="175:175" ht="12.75" hidden="1" customHeight="1" x14ac:dyDescent="0.3">
      <c r="FS129" s="3"/>
    </row>
    <row r="130" spans="175:175" ht="12.75" hidden="1" customHeight="1" x14ac:dyDescent="0.3">
      <c r="FS130" s="3"/>
    </row>
    <row r="131" spans="175:175" ht="12.75" hidden="1" customHeight="1" x14ac:dyDescent="0.3">
      <c r="FS131" s="3"/>
    </row>
    <row r="132" spans="175:175" ht="12.75" hidden="1" customHeight="1" x14ac:dyDescent="0.3">
      <c r="FS132" s="3"/>
    </row>
    <row r="133" spans="175:175" ht="12.75" hidden="1" customHeight="1" x14ac:dyDescent="0.3">
      <c r="FS133" s="3"/>
    </row>
    <row r="134" spans="175:175" ht="12.75" hidden="1" customHeight="1" x14ac:dyDescent="0.3">
      <c r="FS134" s="3"/>
    </row>
    <row r="135" spans="175:175" ht="12.75" hidden="1" customHeight="1" x14ac:dyDescent="0.3">
      <c r="FS135" s="3"/>
    </row>
    <row r="136" spans="175:175" ht="12.75" hidden="1" customHeight="1" x14ac:dyDescent="0.3">
      <c r="FS136" s="3"/>
    </row>
    <row r="137" spans="175:175" ht="12.75" hidden="1" customHeight="1" x14ac:dyDescent="0.3">
      <c r="FS137" s="3"/>
    </row>
    <row r="138" spans="175:175" ht="12.75" hidden="1" customHeight="1" x14ac:dyDescent="0.3">
      <c r="FS138" s="3"/>
    </row>
    <row r="139" spans="175:175" ht="12.75" hidden="1" customHeight="1" x14ac:dyDescent="0.3">
      <c r="FS139" s="3"/>
    </row>
    <row r="140" spans="175:175" ht="12.75" hidden="1" customHeight="1" x14ac:dyDescent="0.3">
      <c r="FS140" s="3"/>
    </row>
    <row r="141" spans="175:175" ht="12.75" hidden="1" customHeight="1" x14ac:dyDescent="0.3">
      <c r="FS141" s="3"/>
    </row>
    <row r="142" spans="175:175" ht="12.75" hidden="1" customHeight="1" x14ac:dyDescent="0.3">
      <c r="FS142" s="3"/>
    </row>
    <row r="143" spans="175:175" ht="12.75" hidden="1" customHeight="1" x14ac:dyDescent="0.3">
      <c r="FS143" s="3"/>
    </row>
    <row r="144" spans="175:175" ht="12.75" hidden="1" customHeight="1" x14ac:dyDescent="0.3">
      <c r="FS144" s="3"/>
    </row>
    <row r="145" spans="175:175" ht="12.75" hidden="1" customHeight="1" x14ac:dyDescent="0.3">
      <c r="FS145" s="3"/>
    </row>
    <row r="146" spans="175:175" ht="12.75" hidden="1" customHeight="1" x14ac:dyDescent="0.3">
      <c r="FS146" s="3"/>
    </row>
    <row r="147" spans="175:175" ht="12.75" hidden="1" customHeight="1" x14ac:dyDescent="0.3">
      <c r="FS147" s="3"/>
    </row>
    <row r="148" spans="175:175" ht="12.75" hidden="1" customHeight="1" x14ac:dyDescent="0.3">
      <c r="FS148" s="3"/>
    </row>
    <row r="149" spans="175:175" ht="12.75" hidden="1" customHeight="1" x14ac:dyDescent="0.3">
      <c r="FS149" s="3"/>
    </row>
    <row r="150" spans="175:175" ht="12.75" hidden="1" customHeight="1" x14ac:dyDescent="0.3">
      <c r="FS150" s="3"/>
    </row>
    <row r="151" spans="175:175" ht="12.75" hidden="1" customHeight="1" x14ac:dyDescent="0.3">
      <c r="FS151" s="3"/>
    </row>
    <row r="152" spans="175:175" ht="12.75" hidden="1" customHeight="1" x14ac:dyDescent="0.3">
      <c r="FS152" s="3"/>
    </row>
    <row r="153" spans="175:175" ht="12.75" hidden="1" customHeight="1" x14ac:dyDescent="0.3">
      <c r="FS153" s="3"/>
    </row>
    <row r="154" spans="175:175" ht="12.75" hidden="1" customHeight="1" x14ac:dyDescent="0.3">
      <c r="FS154" s="3"/>
    </row>
    <row r="155" spans="175:175" ht="12.75" hidden="1" customHeight="1" x14ac:dyDescent="0.3">
      <c r="FS155" s="3"/>
    </row>
    <row r="156" spans="175:175" ht="12.75" hidden="1" customHeight="1" x14ac:dyDescent="0.3">
      <c r="FS156" s="3"/>
    </row>
    <row r="157" spans="175:175" ht="12.75" hidden="1" customHeight="1" x14ac:dyDescent="0.3">
      <c r="FS157" s="3"/>
    </row>
    <row r="158" spans="175:175" ht="12.75" hidden="1" customHeight="1" x14ac:dyDescent="0.3">
      <c r="FS158" s="3"/>
    </row>
    <row r="159" spans="175:175" ht="12.75" hidden="1" customHeight="1" x14ac:dyDescent="0.3">
      <c r="FS159" s="3"/>
    </row>
    <row r="160" spans="175:175" ht="12.75" hidden="1" customHeight="1" x14ac:dyDescent="0.3">
      <c r="FS160" s="3"/>
    </row>
    <row r="161" spans="175:175" ht="12.75" hidden="1" customHeight="1" x14ac:dyDescent="0.3">
      <c r="FS161" s="3"/>
    </row>
    <row r="162" spans="175:175" ht="12.75" hidden="1" customHeight="1" x14ac:dyDescent="0.3">
      <c r="FS162" s="3"/>
    </row>
    <row r="163" spans="175:175" ht="12.75" hidden="1" customHeight="1" x14ac:dyDescent="0.3">
      <c r="FS163" s="3"/>
    </row>
    <row r="164" spans="175:175" ht="12.75" hidden="1" customHeight="1" x14ac:dyDescent="0.3">
      <c r="FS164" s="3"/>
    </row>
    <row r="165" spans="175:175" ht="12.75" hidden="1" customHeight="1" x14ac:dyDescent="0.3">
      <c r="FS165" s="3"/>
    </row>
    <row r="166" spans="175:175" ht="12.75" hidden="1" customHeight="1" x14ac:dyDescent="0.3">
      <c r="FS166" s="3"/>
    </row>
    <row r="167" spans="175:175" ht="12.75" hidden="1" customHeight="1" x14ac:dyDescent="0.3">
      <c r="FS167" s="3"/>
    </row>
    <row r="168" spans="175:175" ht="12.75" hidden="1" customHeight="1" x14ac:dyDescent="0.3">
      <c r="FS168" s="3"/>
    </row>
    <row r="169" spans="175:175" ht="12.75" hidden="1" customHeight="1" x14ac:dyDescent="0.3">
      <c r="FS169" s="3"/>
    </row>
    <row r="170" spans="175:175" ht="12.75" hidden="1" customHeight="1" x14ac:dyDescent="0.3">
      <c r="FS170" s="3"/>
    </row>
    <row r="171" spans="175:175" ht="12.75" hidden="1" customHeight="1" x14ac:dyDescent="0.3">
      <c r="FS171" s="3"/>
    </row>
    <row r="172" spans="175:175" ht="12.75" hidden="1" customHeight="1" x14ac:dyDescent="0.3">
      <c r="FS172" s="3"/>
    </row>
    <row r="173" spans="175:175" ht="12.75" hidden="1" customHeight="1" x14ac:dyDescent="0.3">
      <c r="FS173" s="3"/>
    </row>
    <row r="174" spans="175:175" ht="12.75" hidden="1" customHeight="1" x14ac:dyDescent="0.3">
      <c r="FS174" s="3"/>
    </row>
    <row r="175" spans="175:175" ht="12.75" hidden="1" customHeight="1" x14ac:dyDescent="0.3">
      <c r="FS175" s="3"/>
    </row>
    <row r="176" spans="175:175" ht="12.75" hidden="1" customHeight="1" x14ac:dyDescent="0.3">
      <c r="FS176" s="3"/>
    </row>
    <row r="177" spans="175:175" ht="12.75" hidden="1" customHeight="1" x14ac:dyDescent="0.3">
      <c r="FS177" s="3"/>
    </row>
    <row r="178" spans="175:175" ht="12.75" hidden="1" customHeight="1" x14ac:dyDescent="0.3">
      <c r="FS178" s="3"/>
    </row>
    <row r="179" spans="175:175" ht="12.75" hidden="1" customHeight="1" x14ac:dyDescent="0.3">
      <c r="FS179" s="3"/>
    </row>
    <row r="180" spans="175:175" ht="12.75" hidden="1" customHeight="1" x14ac:dyDescent="0.3">
      <c r="FS180" s="3"/>
    </row>
    <row r="181" spans="175:175" ht="12.75" hidden="1" customHeight="1" x14ac:dyDescent="0.3">
      <c r="FS181" s="3"/>
    </row>
    <row r="182" spans="175:175" ht="12.75" hidden="1" customHeight="1" x14ac:dyDescent="0.3">
      <c r="FS182" s="3"/>
    </row>
    <row r="183" spans="175:175" ht="12.75" hidden="1" customHeight="1" x14ac:dyDescent="0.3">
      <c r="FS183" s="3"/>
    </row>
    <row r="184" spans="175:175" ht="12.75" hidden="1" customHeight="1" x14ac:dyDescent="0.3">
      <c r="FS184" s="3"/>
    </row>
    <row r="185" spans="175:175" ht="12.75" hidden="1" customHeight="1" x14ac:dyDescent="0.3">
      <c r="FS185" s="3"/>
    </row>
    <row r="186" spans="175:175" ht="12.75" hidden="1" customHeight="1" x14ac:dyDescent="0.3">
      <c r="FS186" s="3"/>
    </row>
    <row r="187" spans="175:175" ht="12.75" hidden="1" customHeight="1" x14ac:dyDescent="0.3">
      <c r="FS187" s="3"/>
    </row>
    <row r="188" spans="175:175" ht="12.75" hidden="1" customHeight="1" x14ac:dyDescent="0.3">
      <c r="FS188" s="3"/>
    </row>
    <row r="189" spans="175:175" ht="12.75" hidden="1" customHeight="1" x14ac:dyDescent="0.3">
      <c r="FS189" s="3"/>
    </row>
    <row r="190" spans="175:175" ht="12.75" hidden="1" customHeight="1" x14ac:dyDescent="0.3">
      <c r="FS190" s="3"/>
    </row>
    <row r="191" spans="175:175" ht="12.75" hidden="1" customHeight="1" x14ac:dyDescent="0.3">
      <c r="FS191" s="3"/>
    </row>
    <row r="192" spans="175:175" ht="12.75" hidden="1" customHeight="1" x14ac:dyDescent="0.3">
      <c r="FS192" s="3"/>
    </row>
    <row r="193" spans="175:175" ht="12.75" hidden="1" customHeight="1" x14ac:dyDescent="0.3">
      <c r="FS193" s="3"/>
    </row>
    <row r="194" spans="175:175" ht="12.75" hidden="1" customHeight="1" x14ac:dyDescent="0.3">
      <c r="FS194" s="3"/>
    </row>
    <row r="195" spans="175:175" ht="12.75" hidden="1" customHeight="1" x14ac:dyDescent="0.3">
      <c r="FS195" s="3"/>
    </row>
    <row r="196" spans="175:175" ht="12.75" hidden="1" customHeight="1" x14ac:dyDescent="0.3">
      <c r="FS196" s="3"/>
    </row>
    <row r="197" spans="175:175" ht="12.75" hidden="1" customHeight="1" x14ac:dyDescent="0.3">
      <c r="FS197" s="3"/>
    </row>
    <row r="198" spans="175:175" ht="12.75" hidden="1" customHeight="1" x14ac:dyDescent="0.3">
      <c r="FS198" s="3"/>
    </row>
    <row r="199" spans="175:175" ht="12.75" hidden="1" customHeight="1" x14ac:dyDescent="0.3">
      <c r="FS199" s="3"/>
    </row>
    <row r="200" spans="175:175" ht="12.75" hidden="1" customHeight="1" x14ac:dyDescent="0.3">
      <c r="FS200" s="3"/>
    </row>
    <row r="201" spans="175:175" ht="12.75" hidden="1" customHeight="1" x14ac:dyDescent="0.3">
      <c r="FS201" s="3"/>
    </row>
    <row r="202" spans="175:175" ht="12.75" hidden="1" customHeight="1" x14ac:dyDescent="0.3">
      <c r="FS202" s="3"/>
    </row>
    <row r="203" spans="175:175" ht="12.75" hidden="1" customHeight="1" x14ac:dyDescent="0.3">
      <c r="FS203" s="3"/>
    </row>
    <row r="204" spans="175:175" ht="12.75" hidden="1" customHeight="1" x14ac:dyDescent="0.3">
      <c r="FS204" s="3"/>
    </row>
    <row r="205" spans="175:175" ht="12.75" hidden="1" customHeight="1" x14ac:dyDescent="0.3">
      <c r="FS205" s="3"/>
    </row>
    <row r="206" spans="175:175" ht="12.75" hidden="1" customHeight="1" x14ac:dyDescent="0.3">
      <c r="FS206" s="3"/>
    </row>
    <row r="207" spans="175:175" ht="12.75" hidden="1" customHeight="1" x14ac:dyDescent="0.3">
      <c r="FS207" s="3"/>
    </row>
    <row r="208" spans="175:175" ht="12.75" hidden="1" customHeight="1" x14ac:dyDescent="0.3">
      <c r="FS208" s="3"/>
    </row>
    <row r="209" spans="175:175" ht="12.75" hidden="1" customHeight="1" x14ac:dyDescent="0.3">
      <c r="FS209" s="3"/>
    </row>
    <row r="210" spans="175:175" ht="12.75" hidden="1" customHeight="1" x14ac:dyDescent="0.3">
      <c r="FS210" s="3"/>
    </row>
    <row r="211" spans="175:175" ht="12.75" hidden="1" customHeight="1" x14ac:dyDescent="0.3">
      <c r="FS211" s="3"/>
    </row>
    <row r="212" spans="175:175" ht="12.75" hidden="1" customHeight="1" x14ac:dyDescent="0.3">
      <c r="FS212" s="3"/>
    </row>
    <row r="213" spans="175:175" ht="12.75" hidden="1" customHeight="1" x14ac:dyDescent="0.3">
      <c r="FS213" s="3"/>
    </row>
    <row r="214" spans="175:175" ht="12.75" hidden="1" customHeight="1" x14ac:dyDescent="0.3">
      <c r="FS214" s="3"/>
    </row>
    <row r="215" spans="175:175" ht="12.75" hidden="1" customHeight="1" x14ac:dyDescent="0.3">
      <c r="FS215" s="3"/>
    </row>
    <row r="216" spans="175:175" ht="12.75" hidden="1" customHeight="1" x14ac:dyDescent="0.3">
      <c r="FS216" s="3"/>
    </row>
    <row r="217" spans="175:175" ht="12.75" hidden="1" customHeight="1" x14ac:dyDescent="0.3">
      <c r="FS217" s="3"/>
    </row>
    <row r="218" spans="175:175" ht="12.75" hidden="1" customHeight="1" x14ac:dyDescent="0.3">
      <c r="FS218" s="3"/>
    </row>
    <row r="219" spans="175:175" ht="12.75" hidden="1" customHeight="1" x14ac:dyDescent="0.3">
      <c r="FS219" s="3"/>
    </row>
    <row r="220" spans="175:175" ht="12.75" hidden="1" customHeight="1" x14ac:dyDescent="0.3">
      <c r="FS220" s="3"/>
    </row>
    <row r="221" spans="175:175" ht="12.75" hidden="1" customHeight="1" x14ac:dyDescent="0.3">
      <c r="FS221" s="3"/>
    </row>
    <row r="222" spans="175:175" ht="12.75" hidden="1" customHeight="1" x14ac:dyDescent="0.3">
      <c r="FS222" s="3"/>
    </row>
    <row r="223" spans="175:175" ht="12.75" hidden="1" customHeight="1" x14ac:dyDescent="0.3">
      <c r="FS223" s="3"/>
    </row>
    <row r="224" spans="175:175" ht="12.75" hidden="1" customHeight="1" x14ac:dyDescent="0.3">
      <c r="FS224" s="3"/>
    </row>
    <row r="225" spans="175:175" ht="12.75" hidden="1" customHeight="1" x14ac:dyDescent="0.3">
      <c r="FS225" s="3"/>
    </row>
    <row r="226" spans="175:175" ht="12.75" hidden="1" customHeight="1" x14ac:dyDescent="0.3">
      <c r="FS226" s="3"/>
    </row>
    <row r="227" spans="175:175" ht="12.75" hidden="1" customHeight="1" x14ac:dyDescent="0.3">
      <c r="FS227" s="3"/>
    </row>
    <row r="228" spans="175:175" ht="12.75" hidden="1" customHeight="1" x14ac:dyDescent="0.3">
      <c r="FS228" s="3"/>
    </row>
    <row r="229" spans="175:175" ht="12.75" hidden="1" customHeight="1" x14ac:dyDescent="0.3">
      <c r="FS229" s="3"/>
    </row>
    <row r="230" spans="175:175" ht="12.75" hidden="1" customHeight="1" x14ac:dyDescent="0.3">
      <c r="FS230" s="3"/>
    </row>
    <row r="231" spans="175:175" ht="12.75" hidden="1" customHeight="1" x14ac:dyDescent="0.3">
      <c r="FS231" s="3"/>
    </row>
    <row r="232" spans="175:175" ht="12.75" hidden="1" customHeight="1" x14ac:dyDescent="0.3">
      <c r="FS232" s="3"/>
    </row>
    <row r="233" spans="175:175" ht="12.75" hidden="1" customHeight="1" x14ac:dyDescent="0.3">
      <c r="FS233" s="3"/>
    </row>
    <row r="234" spans="175:175" ht="12.75" hidden="1" customHeight="1" x14ac:dyDescent="0.3">
      <c r="FS234" s="3"/>
    </row>
    <row r="235" spans="175:175" ht="12.75" hidden="1" customHeight="1" x14ac:dyDescent="0.3">
      <c r="FS235" s="3"/>
    </row>
    <row r="236" spans="175:175" ht="12.75" hidden="1" customHeight="1" x14ac:dyDescent="0.3">
      <c r="FS236" s="3"/>
    </row>
    <row r="237" spans="175:175" ht="12.75" hidden="1" customHeight="1" x14ac:dyDescent="0.3">
      <c r="FS237" s="3"/>
    </row>
    <row r="238" spans="175:175" ht="12.75" hidden="1" customHeight="1" x14ac:dyDescent="0.3"/>
    <row r="239" spans="175:175" ht="12.75" hidden="1" customHeight="1" x14ac:dyDescent="0.3"/>
    <row r="240" spans="175:175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L6:F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V216"/>
  <sheetViews>
    <sheetView showGridLines="0" zoomScale="81" zoomScaleNormal="81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FJ14" sqref="FJ14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6" width="9.44140625" style="358" customWidth="1"/>
    <col min="167" max="167" width="13.33203125" style="1" customWidth="1"/>
    <col min="168" max="175" width="9.33203125" style="1" customWidth="1"/>
    <col min="176" max="176" width="11.44140625" style="1" customWidth="1"/>
    <col min="177" max="180" width="11.44140625" style="358" customWidth="1"/>
    <col min="181" max="187" width="11.44140625" style="1" customWidth="1"/>
    <col min="188" max="188" width="11" style="1" bestFit="1" customWidth="1"/>
    <col min="189" max="190" width="11.44140625" style="1" customWidth="1"/>
    <col min="191" max="191" width="10.6640625" style="1" customWidth="1"/>
    <col min="192" max="16384" width="11.44140625" style="1"/>
  </cols>
  <sheetData>
    <row r="1" spans="1:204" ht="13.8" x14ac:dyDescent="0.3">
      <c r="A1" s="55"/>
      <c r="CZ1" s="358" t="s">
        <v>270</v>
      </c>
    </row>
    <row r="2" spans="1:204" ht="15.6" x14ac:dyDescent="0.3">
      <c r="A2" s="46"/>
      <c r="B2" s="471" t="s">
        <v>322</v>
      </c>
    </row>
    <row r="3" spans="1:204" ht="13.8" x14ac:dyDescent="0.3">
      <c r="A3" s="46"/>
      <c r="B3" s="5" t="s">
        <v>80</v>
      </c>
    </row>
    <row r="4" spans="1:204" ht="13.8" x14ac:dyDescent="0.3">
      <c r="A4" s="46"/>
      <c r="B4" s="5" t="s">
        <v>1</v>
      </c>
    </row>
    <row r="5" spans="1:204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L5" s="56"/>
      <c r="FM5" s="56"/>
      <c r="FN5" s="56"/>
      <c r="FO5" s="56"/>
      <c r="FP5" s="56"/>
      <c r="FQ5" s="56"/>
      <c r="FS5" s="1"/>
      <c r="FU5" s="360"/>
      <c r="FV5" s="360"/>
      <c r="FW5" s="360"/>
      <c r="FX5" s="360"/>
    </row>
    <row r="6" spans="1:204" s="3" customFormat="1" ht="12.75" customHeight="1" x14ac:dyDescent="0.3">
      <c r="A6" s="11"/>
      <c r="B6" s="10"/>
      <c r="C6" s="486" t="s">
        <v>333</v>
      </c>
      <c r="D6" s="486" t="s">
        <v>334</v>
      </c>
      <c r="E6" s="485" t="s">
        <v>335</v>
      </c>
      <c r="F6" s="485"/>
      <c r="G6" s="338"/>
      <c r="H6" s="486" t="s">
        <v>336</v>
      </c>
      <c r="I6" s="485" t="s">
        <v>337</v>
      </c>
      <c r="J6" s="48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L6" s="488" t="s">
        <v>2</v>
      </c>
      <c r="FM6" s="488"/>
      <c r="FN6" s="488"/>
      <c r="FO6" s="488"/>
      <c r="FP6" s="488"/>
      <c r="FQ6" s="488"/>
      <c r="FR6" s="488"/>
      <c r="FS6" s="488"/>
      <c r="FU6" s="360"/>
      <c r="FV6" s="360"/>
      <c r="FW6" s="360"/>
      <c r="FX6" s="360"/>
    </row>
    <row r="7" spans="1:204" s="3" customFormat="1" ht="13.8" x14ac:dyDescent="0.3">
      <c r="A7" s="11"/>
      <c r="B7" s="12"/>
      <c r="C7" s="486"/>
      <c r="D7" s="486"/>
      <c r="E7" s="355" t="s">
        <v>3</v>
      </c>
      <c r="F7" s="355" t="s">
        <v>4</v>
      </c>
      <c r="G7" s="339"/>
      <c r="H7" s="487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15"/>
      <c r="FL7" s="16">
        <v>2009</v>
      </c>
      <c r="FM7" s="16">
        <v>2010</v>
      </c>
      <c r="FN7" s="16" t="s">
        <v>297</v>
      </c>
      <c r="FO7" s="16" t="s">
        <v>298</v>
      </c>
      <c r="FP7" s="16" t="s">
        <v>299</v>
      </c>
      <c r="FQ7" s="16" t="s">
        <v>300</v>
      </c>
      <c r="FR7" s="16" t="s">
        <v>301</v>
      </c>
      <c r="FS7" s="334" t="s">
        <v>302</v>
      </c>
      <c r="FT7" s="334" t="s">
        <v>303</v>
      </c>
      <c r="FU7" s="334" t="s">
        <v>304</v>
      </c>
      <c r="FV7" s="334" t="s">
        <v>305</v>
      </c>
      <c r="FW7" s="334" t="s">
        <v>306</v>
      </c>
      <c r="FX7" s="334" t="s">
        <v>307</v>
      </c>
    </row>
    <row r="8" spans="1:204" s="3" customFormat="1" ht="13.8" x14ac:dyDescent="0.3">
      <c r="A8" s="17"/>
      <c r="B8" s="27" t="s">
        <v>81</v>
      </c>
      <c r="C8" s="344">
        <v>1308.7092683832902</v>
      </c>
      <c r="D8" s="344">
        <v>1091.6078403235351</v>
      </c>
      <c r="E8" s="344">
        <v>217.10142805975511</v>
      </c>
      <c r="F8" s="347">
        <v>0.19888225426762207</v>
      </c>
      <c r="G8" s="345"/>
      <c r="H8" s="344">
        <v>906.94563894089151</v>
      </c>
      <c r="I8" s="344">
        <v>184.66220138264362</v>
      </c>
      <c r="J8" s="347">
        <v>0.20360889721933889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62">
        <v>151.61143065170114</v>
      </c>
      <c r="FH8" s="362">
        <v>100.14416223588738</v>
      </c>
      <c r="FI8" s="362">
        <v>120.25</v>
      </c>
      <c r="FJ8" s="362">
        <v>95.817774325746868</v>
      </c>
      <c r="FK8" s="30"/>
      <c r="FL8" s="362">
        <v>1442.46587</v>
      </c>
      <c r="FM8" s="362">
        <v>1407.6</v>
      </c>
      <c r="FN8" s="362">
        <v>1501.8111227701565</v>
      </c>
      <c r="FO8" s="362">
        <v>1773.0146830247056</v>
      </c>
      <c r="FP8" s="362">
        <v>1854.1119125534876</v>
      </c>
      <c r="FQ8" s="362">
        <v>1251.1586859419522</v>
      </c>
      <c r="FR8" s="362">
        <v>927.4662394957013</v>
      </c>
      <c r="FS8" s="362">
        <v>1498.438365841426</v>
      </c>
      <c r="FT8" s="362">
        <v>2169.9852665639801</v>
      </c>
      <c r="FU8" s="362">
        <v>1752.5896999244292</v>
      </c>
      <c r="FV8" s="362">
        <v>976.41529870691136</v>
      </c>
      <c r="FW8" s="362">
        <v>1203.3718856123637</v>
      </c>
      <c r="FX8" s="362">
        <f t="shared" ref="FX8:FX39" si="0">C8</f>
        <v>1308.7092683832902</v>
      </c>
      <c r="FY8" s="410"/>
      <c r="FZ8" s="410"/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410"/>
      <c r="GP8" s="410"/>
      <c r="GQ8" s="360"/>
      <c r="GR8" s="360"/>
      <c r="GS8" s="360"/>
      <c r="GT8" s="360"/>
      <c r="GU8" s="360"/>
      <c r="GV8" s="360"/>
    </row>
    <row r="9" spans="1:204" s="3" customFormat="1" ht="13.8" x14ac:dyDescent="0.3">
      <c r="A9" s="17"/>
      <c r="B9" s="21" t="s">
        <v>82</v>
      </c>
      <c r="C9" s="346">
        <v>1257.5592683832901</v>
      </c>
      <c r="D9" s="346">
        <v>1058.7378403235352</v>
      </c>
      <c r="E9" s="346">
        <v>198.82142805975491</v>
      </c>
      <c r="F9" s="343">
        <v>0.18779099082639561</v>
      </c>
      <c r="G9" s="346"/>
      <c r="H9" s="346">
        <v>877.14563894089156</v>
      </c>
      <c r="I9" s="346">
        <v>181.59220138264368</v>
      </c>
      <c r="J9" s="343">
        <v>0.20702628311748431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4">
        <v>146.42143065170114</v>
      </c>
      <c r="FH9" s="364">
        <v>95.244162235887373</v>
      </c>
      <c r="FI9" s="364">
        <v>116.07</v>
      </c>
      <c r="FJ9" s="364">
        <v>91.787774325746867</v>
      </c>
      <c r="FK9" s="363"/>
      <c r="FL9" s="364">
        <v>920.56000000000006</v>
      </c>
      <c r="FM9" s="364">
        <v>1458.5</v>
      </c>
      <c r="FN9" s="364">
        <v>1457.6111227701565</v>
      </c>
      <c r="FO9" s="364">
        <v>1711.9916046222907</v>
      </c>
      <c r="FP9" s="364">
        <v>1672.1885083664529</v>
      </c>
      <c r="FQ9" s="364">
        <v>1212.2600968067809</v>
      </c>
      <c r="FR9" s="364">
        <v>913.47218259613919</v>
      </c>
      <c r="FS9" s="364">
        <v>1285.6782096536767</v>
      </c>
      <c r="FT9" s="364">
        <v>2071.4966898175671</v>
      </c>
      <c r="FU9" s="364">
        <v>1678.3659941330193</v>
      </c>
      <c r="FV9" s="364">
        <v>943.00529870691139</v>
      </c>
      <c r="FW9" s="364">
        <v>1165.7818856123638</v>
      </c>
      <c r="FX9" s="364">
        <f t="shared" si="0"/>
        <v>1257.5592683832901</v>
      </c>
      <c r="FY9" s="410"/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410"/>
      <c r="GP9" s="410"/>
      <c r="GQ9" s="360"/>
      <c r="GR9" s="360"/>
      <c r="GS9" s="360"/>
      <c r="GT9" s="360"/>
      <c r="GU9" s="360"/>
      <c r="GV9" s="360"/>
    </row>
    <row r="10" spans="1:204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4">
        <v>0</v>
      </c>
      <c r="FH10" s="364">
        <v>0</v>
      </c>
      <c r="FI10" s="364">
        <v>0</v>
      </c>
      <c r="FJ10" s="364">
        <v>0</v>
      </c>
      <c r="FK10" s="363"/>
      <c r="FL10" s="364">
        <v>0</v>
      </c>
      <c r="FM10" s="364">
        <v>0</v>
      </c>
      <c r="FN10" s="364">
        <v>1241.8934669682362</v>
      </c>
      <c r="FO10" s="364">
        <v>1353.955331199129</v>
      </c>
      <c r="FP10" s="364">
        <v>0</v>
      </c>
      <c r="FQ10" s="364">
        <v>0</v>
      </c>
      <c r="FR10" s="364">
        <v>1</v>
      </c>
      <c r="FS10" s="364">
        <v>0</v>
      </c>
      <c r="FT10" s="364">
        <v>0</v>
      </c>
      <c r="FU10" s="364">
        <v>0</v>
      </c>
      <c r="FV10" s="364">
        <v>0</v>
      </c>
      <c r="FW10" s="364">
        <v>0</v>
      </c>
      <c r="FX10" s="364">
        <f t="shared" si="0"/>
        <v>0</v>
      </c>
      <c r="FY10" s="410"/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410"/>
      <c r="GP10" s="410"/>
      <c r="GQ10" s="360"/>
      <c r="GR10" s="360"/>
      <c r="GS10" s="360"/>
      <c r="GT10" s="360"/>
      <c r="GU10" s="360"/>
      <c r="GV10" s="360"/>
    </row>
    <row r="11" spans="1:204" s="3" customFormat="1" ht="13.8" x14ac:dyDescent="0.3">
      <c r="A11" s="17"/>
      <c r="B11" s="21" t="s">
        <v>84</v>
      </c>
      <c r="C11" s="346">
        <v>1257.5592683832901</v>
      </c>
      <c r="D11" s="346">
        <v>1058.7378403235352</v>
      </c>
      <c r="E11" s="346">
        <v>198.82142805975491</v>
      </c>
      <c r="F11" s="343">
        <v>0.18779099082639561</v>
      </c>
      <c r="G11" s="346"/>
      <c r="H11" s="346">
        <v>877.14563894089156</v>
      </c>
      <c r="I11" s="346">
        <v>181.59220138264368</v>
      </c>
      <c r="J11" s="343">
        <v>0.20702628311748431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4">
        <v>146.42143065170114</v>
      </c>
      <c r="FH11" s="364">
        <v>95.244162235887373</v>
      </c>
      <c r="FI11" s="364">
        <v>116.07</v>
      </c>
      <c r="FJ11" s="364">
        <v>91.787774325746867</v>
      </c>
      <c r="FK11" s="363"/>
      <c r="FL11" s="364">
        <v>0</v>
      </c>
      <c r="FM11" s="364">
        <v>0</v>
      </c>
      <c r="FN11" s="364">
        <v>87.394875251750022</v>
      </c>
      <c r="FO11" s="364">
        <v>131.497819220411</v>
      </c>
      <c r="FP11" s="364">
        <v>1417.6186711098121</v>
      </c>
      <c r="FQ11" s="364">
        <v>1027.5168064619102</v>
      </c>
      <c r="FR11" s="364">
        <v>912.47218259613919</v>
      </c>
      <c r="FS11" s="364">
        <v>1285.6782096536767</v>
      </c>
      <c r="FT11" s="364">
        <v>2071.4966898175671</v>
      </c>
      <c r="FU11" s="364">
        <v>1678.3659941330193</v>
      </c>
      <c r="FV11" s="364">
        <v>943.00529870691139</v>
      </c>
      <c r="FW11" s="364">
        <v>1165.7818856123638</v>
      </c>
      <c r="FX11" s="364">
        <f t="shared" si="0"/>
        <v>1257.5592683832901</v>
      </c>
      <c r="FY11" s="410"/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410"/>
      <c r="GP11" s="410"/>
      <c r="GQ11" s="360"/>
      <c r="GR11" s="360"/>
      <c r="GS11" s="360"/>
      <c r="GT11" s="360"/>
      <c r="GU11" s="360"/>
      <c r="GV11" s="360"/>
    </row>
    <row r="12" spans="1:204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4">
        <v>0</v>
      </c>
      <c r="FH12" s="364">
        <v>0</v>
      </c>
      <c r="FI12" s="364">
        <v>0</v>
      </c>
      <c r="FJ12" s="364">
        <v>0</v>
      </c>
      <c r="FK12" s="363"/>
      <c r="FL12" s="364">
        <v>0</v>
      </c>
      <c r="FM12" s="364">
        <v>0</v>
      </c>
      <c r="FN12" s="364">
        <v>0</v>
      </c>
      <c r="FO12" s="364">
        <v>58.322600000000413</v>
      </c>
      <c r="FP12" s="364">
        <v>96.000000000000441</v>
      </c>
      <c r="FQ12" s="364">
        <v>40.000000000000291</v>
      </c>
      <c r="FR12" s="364">
        <v>0</v>
      </c>
      <c r="FS12" s="364">
        <v>0</v>
      </c>
      <c r="FT12" s="364">
        <v>0</v>
      </c>
      <c r="FU12" s="364">
        <v>0</v>
      </c>
      <c r="FV12" s="364">
        <v>0</v>
      </c>
      <c r="FW12" s="364">
        <v>0</v>
      </c>
      <c r="FX12" s="364">
        <f t="shared" si="0"/>
        <v>0</v>
      </c>
      <c r="FY12" s="410"/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410"/>
      <c r="GP12" s="410"/>
      <c r="GQ12" s="360"/>
      <c r="GR12" s="360"/>
      <c r="GS12" s="360"/>
      <c r="GT12" s="360"/>
      <c r="GU12" s="360"/>
      <c r="GV12" s="360"/>
    </row>
    <row r="13" spans="1:204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4">
        <v>0</v>
      </c>
      <c r="FH13" s="364">
        <v>0</v>
      </c>
      <c r="FI13" s="364">
        <v>0</v>
      </c>
      <c r="FJ13" s="364">
        <v>0</v>
      </c>
      <c r="FK13" s="363"/>
      <c r="FL13" s="364">
        <v>0</v>
      </c>
      <c r="FM13" s="364">
        <v>0</v>
      </c>
      <c r="FN13" s="364">
        <v>128.32278055017031</v>
      </c>
      <c r="FO13" s="364">
        <v>168.21585420274999</v>
      </c>
      <c r="FP13" s="364">
        <v>158.56983725664003</v>
      </c>
      <c r="FQ13" s="364">
        <v>144.74329034486999</v>
      </c>
      <c r="FR13" s="364">
        <v>0</v>
      </c>
      <c r="FS13" s="364">
        <v>0</v>
      </c>
      <c r="FT13" s="364">
        <v>0</v>
      </c>
      <c r="FU13" s="364">
        <v>0</v>
      </c>
      <c r="FV13" s="364">
        <v>0</v>
      </c>
      <c r="FW13" s="364">
        <v>0</v>
      </c>
      <c r="FX13" s="364">
        <f t="shared" si="0"/>
        <v>0</v>
      </c>
      <c r="FY13" s="410"/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410"/>
      <c r="GP13" s="410"/>
      <c r="GQ13" s="360"/>
      <c r="GR13" s="360"/>
      <c r="GS13" s="360"/>
      <c r="GT13" s="360"/>
      <c r="GU13" s="360"/>
      <c r="GV13" s="360"/>
    </row>
    <row r="14" spans="1:204" s="3" customFormat="1" ht="13.8" x14ac:dyDescent="0.3">
      <c r="A14" s="17"/>
      <c r="B14" s="21" t="s">
        <v>67</v>
      </c>
      <c r="C14" s="346">
        <v>51.15</v>
      </c>
      <c r="D14" s="346">
        <v>32.869999999999997</v>
      </c>
      <c r="E14" s="346">
        <v>18.28</v>
      </c>
      <c r="F14" s="343">
        <v>0.55613020991785833</v>
      </c>
      <c r="G14" s="346"/>
      <c r="H14" s="346">
        <v>29.799999999999997</v>
      </c>
      <c r="I14" s="346">
        <v>3.0700000000000003</v>
      </c>
      <c r="J14" s="343">
        <v>0.10302013422818794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4">
        <v>5.19</v>
      </c>
      <c r="FH14" s="364">
        <v>4.9000000000000004</v>
      </c>
      <c r="FI14" s="364">
        <v>4.18</v>
      </c>
      <c r="FJ14" s="364">
        <v>4.03</v>
      </c>
      <c r="FK14" s="363"/>
      <c r="FL14" s="364">
        <v>521.90587000000005</v>
      </c>
      <c r="FM14" s="364">
        <v>-50.90000000000002</v>
      </c>
      <c r="FN14" s="364">
        <v>44.2</v>
      </c>
      <c r="FO14" s="364">
        <v>61.02307840241496</v>
      </c>
      <c r="FP14" s="364">
        <v>181.92340418703469</v>
      </c>
      <c r="FQ14" s="364">
        <v>38.898589135171385</v>
      </c>
      <c r="FR14" s="364">
        <v>13.994056899562061</v>
      </c>
      <c r="FS14" s="364">
        <v>212.76015618774929</v>
      </c>
      <c r="FT14" s="364">
        <v>98.488576746413131</v>
      </c>
      <c r="FU14" s="364">
        <v>74.223705791409884</v>
      </c>
      <c r="FV14" s="364">
        <v>33.409999999999997</v>
      </c>
      <c r="FW14" s="364">
        <v>37.589999999999996</v>
      </c>
      <c r="FX14" s="364">
        <f t="shared" si="0"/>
        <v>51.15</v>
      </c>
      <c r="FY14" s="410"/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410"/>
      <c r="GP14" s="410"/>
      <c r="GQ14" s="360"/>
      <c r="GR14" s="360"/>
      <c r="GS14" s="360"/>
      <c r="GT14" s="360"/>
      <c r="GU14" s="360"/>
      <c r="GV14" s="360"/>
    </row>
    <row r="15" spans="1:204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59"/>
      <c r="FJ15" s="359"/>
      <c r="FK15" s="363"/>
      <c r="FL15" s="430"/>
      <c r="FM15" s="430"/>
      <c r="FN15" s="430"/>
      <c r="FO15" s="430"/>
      <c r="FP15" s="430"/>
      <c r="FQ15" s="430"/>
      <c r="FR15" s="430"/>
      <c r="FS15" s="430"/>
      <c r="FT15" s="430"/>
      <c r="FU15" s="430"/>
      <c r="FV15" s="430"/>
      <c r="FW15" s="424"/>
      <c r="FX15" s="424"/>
      <c r="FY15" s="410"/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410"/>
      <c r="GP15" s="410"/>
      <c r="GQ15" s="360"/>
      <c r="GR15" s="360"/>
      <c r="GS15" s="360"/>
      <c r="GT15" s="360"/>
      <c r="GU15" s="360"/>
      <c r="GV15" s="360"/>
    </row>
    <row r="16" spans="1:204" s="3" customFormat="1" ht="13.8" x14ac:dyDescent="0.3">
      <c r="A16" s="17"/>
      <c r="B16" s="27" t="s">
        <v>87</v>
      </c>
      <c r="C16" s="348">
        <v>12.485040213988571</v>
      </c>
      <c r="D16" s="348">
        <v>12.563533611351216</v>
      </c>
      <c r="E16" s="348">
        <v>-7.8493397362645823E-2</v>
      </c>
      <c r="F16" s="347">
        <v>-6.2477165892027894E-3</v>
      </c>
      <c r="G16" s="345"/>
      <c r="H16" s="348">
        <v>14.306780489968899</v>
      </c>
      <c r="I16" s="348">
        <v>-1.7432468786176827</v>
      </c>
      <c r="J16" s="347">
        <v>-0.12184760085191412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6">
        <v>11.653288584732161</v>
      </c>
      <c r="FH16" s="366">
        <v>13.994580110364815</v>
      </c>
      <c r="FI16" s="366">
        <v>13.603236437964064</v>
      </c>
      <c r="FJ16" s="366">
        <v>15.427578778962689</v>
      </c>
      <c r="FK16" s="363"/>
      <c r="FL16" s="366">
        <v>11.429480832003561</v>
      </c>
      <c r="FM16" s="366">
        <v>9.743846356156558</v>
      </c>
      <c r="FN16" s="366">
        <v>9.9111033142358931</v>
      </c>
      <c r="FO16" s="366">
        <v>9.9044915199039156</v>
      </c>
      <c r="FP16" s="366">
        <v>10.193290131060468</v>
      </c>
      <c r="FQ16" s="366">
        <v>14.325423469458668</v>
      </c>
      <c r="FR16" s="366">
        <v>16.311630904089579</v>
      </c>
      <c r="FS16" s="366">
        <v>12.063924323871841</v>
      </c>
      <c r="FT16" s="366">
        <v>11.675430078556049</v>
      </c>
      <c r="FU16" s="366">
        <v>11.199168541990728</v>
      </c>
      <c r="FV16" s="366">
        <v>14.350944677418914</v>
      </c>
      <c r="FW16" s="366">
        <v>12.515028904342634</v>
      </c>
      <c r="FX16" s="366">
        <f t="shared" si="0"/>
        <v>12.485040213988571</v>
      </c>
      <c r="FY16" s="410"/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410"/>
      <c r="GP16" s="410"/>
      <c r="GQ16" s="360"/>
      <c r="GR16" s="360"/>
      <c r="GS16" s="360"/>
      <c r="GT16" s="360"/>
      <c r="GU16" s="360"/>
      <c r="GV16" s="360"/>
    </row>
    <row r="17" spans="1:204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59"/>
      <c r="FJ17" s="359"/>
      <c r="FK17" s="363"/>
      <c r="FL17" s="430"/>
      <c r="FM17" s="430"/>
      <c r="FN17" s="430"/>
      <c r="FO17" s="430"/>
      <c r="FP17" s="430"/>
      <c r="FQ17" s="430"/>
      <c r="FR17" s="430"/>
      <c r="FS17" s="430"/>
      <c r="FT17" s="430"/>
      <c r="FU17" s="430"/>
      <c r="FV17" s="430"/>
      <c r="FW17" s="424"/>
      <c r="FX17" s="424"/>
      <c r="FY17" s="410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410"/>
      <c r="GP17" s="410"/>
      <c r="GQ17" s="360"/>
      <c r="GR17" s="360"/>
      <c r="GS17" s="360"/>
      <c r="GT17" s="360"/>
      <c r="GU17" s="360"/>
      <c r="GV17" s="360"/>
    </row>
    <row r="18" spans="1:204" s="3" customFormat="1" ht="13.8" x14ac:dyDescent="0.3">
      <c r="A18" s="17"/>
      <c r="B18" s="27" t="s">
        <v>31</v>
      </c>
      <c r="C18" s="344">
        <v>163.3928784418494</v>
      </c>
      <c r="D18" s="344">
        <v>137.14451792319244</v>
      </c>
      <c r="E18" s="344">
        <v>26.248360518656966</v>
      </c>
      <c r="F18" s="347">
        <v>0.1913919777191336</v>
      </c>
      <c r="G18" s="345"/>
      <c r="H18" s="344">
        <v>129.75472172661924</v>
      </c>
      <c r="I18" s="344">
        <v>7.3897961965732009</v>
      </c>
      <c r="J18" s="347">
        <v>5.6952040729144282E-2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2">
        <v>17.667717541283807</v>
      </c>
      <c r="FH18" s="362">
        <v>14.014755009954968</v>
      </c>
      <c r="FI18" s="362">
        <v>16.357891816651787</v>
      </c>
      <c r="FJ18" s="362">
        <v>14.782362618353282</v>
      </c>
      <c r="FK18" s="363"/>
      <c r="FL18" s="362">
        <v>164.86636011984339</v>
      </c>
      <c r="FM18" s="362">
        <v>137.15438130925969</v>
      </c>
      <c r="FN18" s="362">
        <v>148.84605196243626</v>
      </c>
      <c r="FO18" s="362">
        <v>175.60808892683326</v>
      </c>
      <c r="FP18" s="362">
        <v>188.99500660113117</v>
      </c>
      <c r="FQ18" s="362">
        <v>179.23378003609909</v>
      </c>
      <c r="FR18" s="362">
        <v>151.28486974657829</v>
      </c>
      <c r="FS18" s="362">
        <v>180.77047049497153</v>
      </c>
      <c r="FT18" s="362">
        <v>253.3551125126456</v>
      </c>
      <c r="FU18" s="362">
        <v>196.27547434410639</v>
      </c>
      <c r="FV18" s="362">
        <v>140.12481933928348</v>
      </c>
      <c r="FW18" s="362">
        <v>150.60233931112029</v>
      </c>
      <c r="FX18" s="362">
        <f t="shared" si="0"/>
        <v>163.3928784418494</v>
      </c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410"/>
      <c r="GP18" s="410"/>
      <c r="GQ18" s="360"/>
      <c r="GR18" s="360"/>
      <c r="GS18" s="360"/>
      <c r="GT18" s="360"/>
      <c r="GU18" s="360"/>
      <c r="GV18" s="360"/>
    </row>
    <row r="19" spans="1:204" s="3" customFormat="1" ht="13.8" x14ac:dyDescent="0.3">
      <c r="A19" s="17"/>
      <c r="B19" s="21" t="s">
        <v>82</v>
      </c>
      <c r="C19" s="346">
        <v>100.97554959577263</v>
      </c>
      <c r="D19" s="346">
        <v>79.197769633820826</v>
      </c>
      <c r="E19" s="346">
        <v>21.777779961951808</v>
      </c>
      <c r="F19" s="343">
        <v>0.27497971297226742</v>
      </c>
      <c r="G19" s="346"/>
      <c r="H19" s="346">
        <v>67.379984983692751</v>
      </c>
      <c r="I19" s="346">
        <v>11.817784650128075</v>
      </c>
      <c r="J19" s="343">
        <v>0.17539013481508206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4">
        <v>11.920627711318533</v>
      </c>
      <c r="FH19" s="364">
        <v>8.1907473509589757</v>
      </c>
      <c r="FI19" s="364">
        <v>10.199999999999999</v>
      </c>
      <c r="FJ19" s="364">
        <v>8.7987884481156957</v>
      </c>
      <c r="FK19" s="363"/>
      <c r="FL19" s="364">
        <v>95.195302646957515</v>
      </c>
      <c r="FM19" s="364">
        <v>130.21903148916164</v>
      </c>
      <c r="FN19" s="364">
        <v>146.69676213737677</v>
      </c>
      <c r="FO19" s="364">
        <v>191.9078877853444</v>
      </c>
      <c r="FP19" s="364">
        <v>178.90730658757022</v>
      </c>
      <c r="FQ19" s="364">
        <v>151.45946355977867</v>
      </c>
      <c r="FR19" s="364">
        <v>96.427377800632016</v>
      </c>
      <c r="FS19" s="364">
        <v>111.96809732521257</v>
      </c>
      <c r="FT19" s="364">
        <v>187.62439699000004</v>
      </c>
      <c r="FU19" s="364">
        <v>127.05819761832717</v>
      </c>
      <c r="FV19" s="364">
        <v>72.319459466144238</v>
      </c>
      <c r="FW19" s="364">
        <v>87.30177917558531</v>
      </c>
      <c r="FX19" s="364">
        <f t="shared" si="0"/>
        <v>100.97554959577263</v>
      </c>
      <c r="FY19" s="410"/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410"/>
      <c r="GP19" s="410"/>
      <c r="GQ19" s="360"/>
      <c r="GR19" s="360"/>
      <c r="GS19" s="360"/>
      <c r="GT19" s="360"/>
      <c r="GU19" s="360"/>
      <c r="GV19" s="360"/>
    </row>
    <row r="20" spans="1:204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4">
        <v>0</v>
      </c>
      <c r="FH20" s="364">
        <v>0</v>
      </c>
      <c r="FI20" s="364">
        <v>0</v>
      </c>
      <c r="FJ20" s="364">
        <v>0</v>
      </c>
      <c r="FK20" s="363"/>
      <c r="FL20" s="364">
        <v>52.422192987663884</v>
      </c>
      <c r="FM20" s="364">
        <v>84.17667301681135</v>
      </c>
      <c r="FN20" s="364">
        <v>123.18488084486791</v>
      </c>
      <c r="FO20" s="364">
        <v>151.54699937088475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f t="shared" si="0"/>
        <v>0</v>
      </c>
      <c r="FY20" s="410"/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410"/>
      <c r="GP20" s="410"/>
      <c r="GQ20" s="360"/>
      <c r="GR20" s="360"/>
      <c r="GS20" s="360"/>
      <c r="GT20" s="360"/>
      <c r="GU20" s="360"/>
      <c r="GV20" s="360"/>
    </row>
    <row r="21" spans="1:204" s="3" customFormat="1" ht="13.8" x14ac:dyDescent="0.3">
      <c r="A21" s="17"/>
      <c r="B21" s="21" t="s">
        <v>84</v>
      </c>
      <c r="C21" s="346">
        <v>100.97554959577263</v>
      </c>
      <c r="D21" s="346">
        <v>79.197769633820826</v>
      </c>
      <c r="E21" s="346">
        <v>21.777779961951808</v>
      </c>
      <c r="F21" s="343">
        <v>0.27497971297226742</v>
      </c>
      <c r="G21" s="346"/>
      <c r="H21" s="346">
        <v>67.379984983692751</v>
      </c>
      <c r="I21" s="346">
        <v>11.817784650128075</v>
      </c>
      <c r="J21" s="343">
        <v>0.17539013481508206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4">
        <v>11.920627711318533</v>
      </c>
      <c r="FH21" s="364">
        <v>8.1907473509589757</v>
      </c>
      <c r="FI21" s="364">
        <v>10.199999999999999</v>
      </c>
      <c r="FJ21" s="364">
        <v>8.7987884481156957</v>
      </c>
      <c r="FK21" s="363"/>
      <c r="FL21" s="364">
        <v>38.352480772467466</v>
      </c>
      <c r="FM21" s="364">
        <v>35.141695027691689</v>
      </c>
      <c r="FN21" s="364">
        <v>7.62452913</v>
      </c>
      <c r="FO21" s="364">
        <v>11.027531596697504</v>
      </c>
      <c r="FP21" s="364">
        <v>143.23855289245822</v>
      </c>
      <c r="FQ21" s="364">
        <v>125.69206960164696</v>
      </c>
      <c r="FR21" s="364">
        <v>96.321298548237664</v>
      </c>
      <c r="FS21" s="364">
        <v>111.96809732521257</v>
      </c>
      <c r="FT21" s="364">
        <v>179.62439699000004</v>
      </c>
      <c r="FU21" s="364">
        <v>127.05819761832717</v>
      </c>
      <c r="FV21" s="364">
        <v>72.319459466144238</v>
      </c>
      <c r="FW21" s="364">
        <v>87.30177917558531</v>
      </c>
      <c r="FX21" s="364">
        <f t="shared" si="0"/>
        <v>100.97554959577263</v>
      </c>
      <c r="FY21" s="410"/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410"/>
      <c r="GP21" s="410"/>
      <c r="GQ21" s="360"/>
      <c r="GR21" s="360"/>
      <c r="GS21" s="360"/>
      <c r="GT21" s="360"/>
      <c r="GU21" s="360"/>
      <c r="GV21" s="360"/>
    </row>
    <row r="22" spans="1:204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4">
        <v>0</v>
      </c>
      <c r="FH22" s="364">
        <v>0</v>
      </c>
      <c r="FI22" s="364">
        <v>0</v>
      </c>
      <c r="FJ22" s="364">
        <v>0</v>
      </c>
      <c r="FK22" s="363"/>
      <c r="FL22" s="364">
        <v>0</v>
      </c>
      <c r="FM22" s="364">
        <v>0</v>
      </c>
      <c r="FN22" s="364">
        <v>0</v>
      </c>
      <c r="FO22" s="364">
        <v>6.5791294202034587</v>
      </c>
      <c r="FP22" s="364">
        <v>10.869988322715068</v>
      </c>
      <c r="FQ22" s="364">
        <v>4.8364340099999996</v>
      </c>
      <c r="FR22" s="364">
        <v>0</v>
      </c>
      <c r="FS22" s="364">
        <v>0</v>
      </c>
      <c r="FT22" s="364">
        <v>8</v>
      </c>
      <c r="FU22" s="364">
        <v>0</v>
      </c>
      <c r="FV22" s="364">
        <v>0</v>
      </c>
      <c r="FW22" s="364">
        <v>0</v>
      </c>
      <c r="FX22" s="364">
        <f t="shared" si="0"/>
        <v>0</v>
      </c>
      <c r="FY22" s="410"/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410"/>
      <c r="GP22" s="410"/>
      <c r="GQ22" s="360"/>
      <c r="GR22" s="360"/>
      <c r="GS22" s="360"/>
      <c r="GT22" s="360"/>
      <c r="GU22" s="360"/>
      <c r="GV22" s="360"/>
    </row>
    <row r="23" spans="1:204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4">
        <v>0</v>
      </c>
      <c r="FH23" s="364">
        <v>0</v>
      </c>
      <c r="FI23" s="364">
        <v>0</v>
      </c>
      <c r="FJ23" s="364">
        <v>0</v>
      </c>
      <c r="FK23" s="363"/>
      <c r="FL23" s="364">
        <v>4.4206288868261687</v>
      </c>
      <c r="FM23" s="364">
        <v>10.900663444658637</v>
      </c>
      <c r="FN23" s="364">
        <v>15.887352162508858</v>
      </c>
      <c r="FO23" s="364">
        <v>22.754227397558687</v>
      </c>
      <c r="FP23" s="364">
        <v>24.798765372396943</v>
      </c>
      <c r="FQ23" s="364">
        <v>20.930959948131719</v>
      </c>
      <c r="FR23" s="364">
        <v>0.1060792523943459</v>
      </c>
      <c r="FS23" s="364">
        <v>0</v>
      </c>
      <c r="FT23" s="364">
        <v>0</v>
      </c>
      <c r="FU23" s="364">
        <v>0</v>
      </c>
      <c r="FV23" s="364">
        <v>0</v>
      </c>
      <c r="FW23" s="364">
        <v>0</v>
      </c>
      <c r="FX23" s="364">
        <f t="shared" si="0"/>
        <v>0</v>
      </c>
      <c r="FY23" s="410"/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410"/>
      <c r="GP23" s="410"/>
      <c r="GQ23" s="360"/>
      <c r="GR23" s="360"/>
      <c r="GS23" s="360"/>
      <c r="GT23" s="360"/>
      <c r="GU23" s="360"/>
      <c r="GV23" s="360"/>
    </row>
    <row r="24" spans="1:204" s="3" customFormat="1" ht="13.8" x14ac:dyDescent="0.3">
      <c r="A24" s="17"/>
      <c r="B24" s="21" t="s">
        <v>67</v>
      </c>
      <c r="C24" s="346">
        <v>62.417328846076778</v>
      </c>
      <c r="D24" s="346">
        <v>57.946748289371612</v>
      </c>
      <c r="E24" s="346">
        <v>4.4705805567051655</v>
      </c>
      <c r="F24" s="343">
        <v>7.7149808896613159E-2</v>
      </c>
      <c r="G24" s="346"/>
      <c r="H24" s="346">
        <v>62.374736742926487</v>
      </c>
      <c r="I24" s="346">
        <v>-4.4279884535548746</v>
      </c>
      <c r="J24" s="343">
        <v>-7.0990094464118497E-2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4">
        <v>5.7470898299652724</v>
      </c>
      <c r="FH24" s="364">
        <v>5.8240076589959919</v>
      </c>
      <c r="FI24" s="364">
        <v>6.1578918166517882</v>
      </c>
      <c r="FJ24" s="364">
        <v>5.9835741702375866</v>
      </c>
      <c r="FK24" s="363"/>
      <c r="FL24" s="364">
        <v>69.671057472885877</v>
      </c>
      <c r="FM24" s="364">
        <v>6.935349820098045</v>
      </c>
      <c r="FN24" s="364">
        <v>2.1492898250594878</v>
      </c>
      <c r="FO24" s="364">
        <v>-16.299798858511142</v>
      </c>
      <c r="FP24" s="364">
        <v>10.087700013560946</v>
      </c>
      <c r="FQ24" s="364">
        <v>27.774316476320426</v>
      </c>
      <c r="FR24" s="364">
        <v>54.857491945946286</v>
      </c>
      <c r="FS24" s="364">
        <v>68.802373169758965</v>
      </c>
      <c r="FT24" s="364">
        <v>65.730715522645568</v>
      </c>
      <c r="FU24" s="364">
        <v>69.2172767257792</v>
      </c>
      <c r="FV24" s="364">
        <v>67.805359873139224</v>
      </c>
      <c r="FW24" s="364">
        <v>63.300560135534973</v>
      </c>
      <c r="FX24" s="364">
        <f t="shared" si="0"/>
        <v>62.417328846076778</v>
      </c>
      <c r="FY24" s="410"/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410"/>
      <c r="GP24" s="410"/>
      <c r="GQ24" s="360"/>
      <c r="GR24" s="360"/>
      <c r="GS24" s="360"/>
      <c r="GT24" s="360"/>
      <c r="GU24" s="360"/>
      <c r="GV24" s="360"/>
    </row>
    <row r="25" spans="1:204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59"/>
      <c r="FJ25" s="359"/>
      <c r="FK25" s="363"/>
      <c r="FL25" s="430"/>
      <c r="FM25" s="430"/>
      <c r="FN25" s="430"/>
      <c r="FO25" s="430"/>
      <c r="FP25" s="430"/>
      <c r="FQ25" s="430"/>
      <c r="FR25" s="430"/>
      <c r="FS25" s="430"/>
      <c r="FT25" s="430"/>
      <c r="FU25" s="430"/>
      <c r="FV25" s="430"/>
      <c r="FW25" s="424"/>
      <c r="FX25" s="424"/>
      <c r="FY25" s="410"/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410"/>
      <c r="GP25" s="410"/>
      <c r="GQ25" s="360"/>
      <c r="GR25" s="360"/>
      <c r="GS25" s="360"/>
      <c r="GT25" s="360"/>
      <c r="GU25" s="360"/>
      <c r="GV25" s="360"/>
    </row>
    <row r="26" spans="1:204" s="3" customFormat="1" ht="13.8" x14ac:dyDescent="0.3">
      <c r="A26" s="17"/>
      <c r="B26" s="27" t="s">
        <v>38</v>
      </c>
      <c r="C26" s="344">
        <v>0</v>
      </c>
      <c r="D26" s="344">
        <v>7.0123049489051047E-4</v>
      </c>
      <c r="E26" s="344">
        <v>-7.0123049489051047E-4</v>
      </c>
      <c r="F26" s="347">
        <v>-1</v>
      </c>
      <c r="G26" s="345"/>
      <c r="H26" s="344">
        <v>0</v>
      </c>
      <c r="I26" s="344">
        <v>7.0123049489051047E-4</v>
      </c>
      <c r="J26" s="347">
        <v>0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2">
        <v>0</v>
      </c>
      <c r="FH26" s="362">
        <v>0</v>
      </c>
      <c r="FI26" s="362">
        <v>0</v>
      </c>
      <c r="FJ26" s="362">
        <v>0</v>
      </c>
      <c r="FK26" s="363"/>
      <c r="FL26" s="362">
        <v>0.44776235765904815</v>
      </c>
      <c r="FM26" s="362">
        <v>0.73137667499080261</v>
      </c>
      <c r="FN26" s="362">
        <v>1.726200255666414</v>
      </c>
      <c r="FO26" s="362">
        <v>5.1905031258307668</v>
      </c>
      <c r="FP26" s="362">
        <v>0.1472582684607622</v>
      </c>
      <c r="FQ26" s="362">
        <v>0.23000492045442167</v>
      </c>
      <c r="FR26" s="362">
        <v>0.23735634550395848</v>
      </c>
      <c r="FS26" s="362">
        <v>0.13388817304960618</v>
      </c>
      <c r="FT26" s="362">
        <v>4.0874620907230409E-2</v>
      </c>
      <c r="FU26" s="362">
        <v>9.1831332771848779E-4</v>
      </c>
      <c r="FV26" s="362">
        <v>0</v>
      </c>
      <c r="FW26" s="362">
        <v>7.0123049489051047E-4</v>
      </c>
      <c r="FX26" s="362">
        <f t="shared" si="0"/>
        <v>0</v>
      </c>
      <c r="FY26" s="410"/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410"/>
      <c r="GP26" s="410"/>
      <c r="GQ26" s="360"/>
      <c r="GR26" s="360"/>
      <c r="GS26" s="360"/>
      <c r="GT26" s="360"/>
      <c r="GU26" s="360"/>
      <c r="GV26" s="360"/>
    </row>
    <row r="27" spans="1:204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59"/>
      <c r="FJ27" s="359"/>
      <c r="FK27" s="363"/>
      <c r="FL27" s="430"/>
      <c r="FM27" s="430"/>
      <c r="FN27" s="430"/>
      <c r="FO27" s="430"/>
      <c r="FP27" s="430"/>
      <c r="FQ27" s="430"/>
      <c r="FR27" s="430"/>
      <c r="FS27" s="430"/>
      <c r="FT27" s="430"/>
      <c r="FU27" s="430"/>
      <c r="FV27" s="430"/>
      <c r="FW27" s="424"/>
      <c r="FX27" s="424"/>
      <c r="FY27" s="410"/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410"/>
      <c r="GP27" s="410"/>
      <c r="GQ27" s="360"/>
      <c r="GR27" s="360"/>
      <c r="GS27" s="360"/>
      <c r="GT27" s="360"/>
      <c r="GU27" s="360"/>
      <c r="GV27" s="360"/>
    </row>
    <row r="28" spans="1:204" s="3" customFormat="1" ht="13.8" x14ac:dyDescent="0.3">
      <c r="A28" s="17"/>
      <c r="B28" s="27" t="s">
        <v>39</v>
      </c>
      <c r="C28" s="344">
        <v>49.461326537370653</v>
      </c>
      <c r="D28" s="344">
        <v>51.485036778802325</v>
      </c>
      <c r="E28" s="344">
        <v>-2.0237102414316723</v>
      </c>
      <c r="F28" s="347">
        <v>-3.9306764995162329E-2</v>
      </c>
      <c r="G28" s="345"/>
      <c r="H28" s="344">
        <v>59.64616520394565</v>
      </c>
      <c r="I28" s="344">
        <v>-8.1611284251433247</v>
      </c>
      <c r="J28" s="347">
        <v>-0.13682570199170924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2">
        <v>3.6877021525150169</v>
      </c>
      <c r="FH28" s="362">
        <v>5.581380929368029</v>
      </c>
      <c r="FI28" s="362">
        <v>7.8957932829152382</v>
      </c>
      <c r="FJ28" s="362">
        <v>4.006961558559702</v>
      </c>
      <c r="FK28" s="363"/>
      <c r="FL28" s="362">
        <v>23.818334661563632</v>
      </c>
      <c r="FM28" s="362">
        <v>34.98146394179718</v>
      </c>
      <c r="FN28" s="362">
        <v>31.0998700519857</v>
      </c>
      <c r="FO28" s="362">
        <v>34.189948145135062</v>
      </c>
      <c r="FP28" s="362">
        <v>47.264616423745011</v>
      </c>
      <c r="FQ28" s="362">
        <v>70.304732377210641</v>
      </c>
      <c r="FR28" s="362">
        <v>70.321486900657732</v>
      </c>
      <c r="FS28" s="362">
        <v>69.794883789746308</v>
      </c>
      <c r="FT28" s="362">
        <v>63.586392473288399</v>
      </c>
      <c r="FU28" s="362">
        <v>87.899089397937615</v>
      </c>
      <c r="FV28" s="362">
        <v>69.532978867473659</v>
      </c>
      <c r="FW28" s="362">
        <v>60.33083030006771</v>
      </c>
      <c r="FX28" s="362">
        <f t="shared" si="0"/>
        <v>49.461326537370653</v>
      </c>
      <c r="FY28" s="410"/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410"/>
      <c r="GP28" s="410"/>
      <c r="GQ28" s="360"/>
      <c r="GR28" s="360"/>
      <c r="GS28" s="360"/>
      <c r="GT28" s="360"/>
      <c r="GU28" s="360"/>
      <c r="GV28" s="360"/>
    </row>
    <row r="29" spans="1:204" s="3" customFormat="1" ht="13.8" x14ac:dyDescent="0.3">
      <c r="A29" s="17"/>
      <c r="B29" s="21" t="s">
        <v>68</v>
      </c>
      <c r="C29" s="346">
        <v>34.249145306930778</v>
      </c>
      <c r="D29" s="346">
        <v>39.155911879327945</v>
      </c>
      <c r="E29" s="346">
        <v>-4.9067665723971672</v>
      </c>
      <c r="F29" s="343">
        <v>-0.12531355641822392</v>
      </c>
      <c r="G29" s="346"/>
      <c r="H29" s="346">
        <v>37.964062580964423</v>
      </c>
      <c r="I29" s="346">
        <v>1.1918492983635218</v>
      </c>
      <c r="J29" s="343">
        <v>3.1394145339996557E-2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4">
        <v>3.3038014796073827</v>
      </c>
      <c r="FH29" s="364">
        <v>4.8941139466868684</v>
      </c>
      <c r="FI29" s="364">
        <v>3.1603371018913879</v>
      </c>
      <c r="FJ29" s="364">
        <v>2.7676577912118137</v>
      </c>
      <c r="FK29" s="363"/>
      <c r="FL29" s="364">
        <v>16.105132406126113</v>
      </c>
      <c r="FM29" s="364">
        <v>18.784578855868023</v>
      </c>
      <c r="FN29" s="364">
        <v>18.679177806085566</v>
      </c>
      <c r="FO29" s="364">
        <v>21.771003419907007</v>
      </c>
      <c r="FP29" s="364">
        <v>29.928926183676666</v>
      </c>
      <c r="FQ29" s="364">
        <v>31.917083051011641</v>
      </c>
      <c r="FR29" s="364">
        <v>33.213112729304861</v>
      </c>
      <c r="FS29" s="364">
        <v>37.795854104690761</v>
      </c>
      <c r="FT29" s="364">
        <v>40.260770449329925</v>
      </c>
      <c r="FU29" s="364">
        <v>46.293140555908614</v>
      </c>
      <c r="FV29" s="364">
        <v>46.299125804123662</v>
      </c>
      <c r="FW29" s="364">
        <v>47.064528291287736</v>
      </c>
      <c r="FX29" s="364">
        <f t="shared" si="0"/>
        <v>34.249145306930778</v>
      </c>
      <c r="FY29" s="410"/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410"/>
      <c r="GP29" s="410"/>
      <c r="GQ29" s="360"/>
      <c r="GR29" s="360"/>
      <c r="GS29" s="360"/>
      <c r="GT29" s="360"/>
      <c r="GU29" s="360"/>
      <c r="GV29" s="360"/>
    </row>
    <row r="30" spans="1:204" s="3" customFormat="1" ht="13.8" x14ac:dyDescent="0.3">
      <c r="A30" s="17"/>
      <c r="B30" s="21" t="s">
        <v>69</v>
      </c>
      <c r="C30" s="346">
        <v>4.3997456401393</v>
      </c>
      <c r="D30" s="346">
        <v>5.8124678984896008</v>
      </c>
      <c r="E30" s="346">
        <v>-1.4127222583503007</v>
      </c>
      <c r="F30" s="343">
        <v>-0.24305033301214513</v>
      </c>
      <c r="G30" s="346"/>
      <c r="H30" s="346">
        <v>10.14637295879089</v>
      </c>
      <c r="I30" s="346">
        <v>-4.333905060301289</v>
      </c>
      <c r="J30" s="343">
        <v>-0.42713835553879997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4">
        <v>0.17330791909086982</v>
      </c>
      <c r="FH30" s="364">
        <v>0.37291939621910181</v>
      </c>
      <c r="FI30" s="364">
        <v>0.12091376647597678</v>
      </c>
      <c r="FJ30" s="364">
        <v>0.57280145923246184</v>
      </c>
      <c r="FK30" s="363"/>
      <c r="FL30" s="364">
        <v>4.6460369778723587</v>
      </c>
      <c r="FM30" s="364">
        <v>11.641672412577526</v>
      </c>
      <c r="FN30" s="364">
        <v>4.8996549530299554</v>
      </c>
      <c r="FO30" s="364">
        <v>5.3270191809273735</v>
      </c>
      <c r="FP30" s="364">
        <v>5.8769064737216317</v>
      </c>
      <c r="FQ30" s="364">
        <v>14.736236494493365</v>
      </c>
      <c r="FR30" s="364">
        <v>14.792574742607767</v>
      </c>
      <c r="FS30" s="364">
        <v>9.7563463827054751</v>
      </c>
      <c r="FT30" s="364">
        <v>8.609112049052138</v>
      </c>
      <c r="FU30" s="364">
        <v>15.890096394839896</v>
      </c>
      <c r="FV30" s="364">
        <v>11.10919045485025</v>
      </c>
      <c r="FW30" s="364">
        <v>6.3302947564036334</v>
      </c>
      <c r="FX30" s="364">
        <f t="shared" si="0"/>
        <v>4.3997456401393</v>
      </c>
      <c r="FY30" s="410"/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410"/>
      <c r="GP30" s="410"/>
      <c r="GQ30" s="360"/>
      <c r="GR30" s="360"/>
      <c r="GS30" s="360"/>
      <c r="GT30" s="360"/>
      <c r="GU30" s="360"/>
      <c r="GV30" s="360"/>
    </row>
    <row r="31" spans="1:204" s="3" customFormat="1" ht="13.8" x14ac:dyDescent="0.3">
      <c r="A31" s="17"/>
      <c r="B31" s="21" t="s">
        <v>70</v>
      </c>
      <c r="C31" s="346">
        <v>2.6188490581921879</v>
      </c>
      <c r="D31" s="346">
        <v>2.5953061147684182</v>
      </c>
      <c r="E31" s="346">
        <v>2.3542943423769724E-2</v>
      </c>
      <c r="F31" s="343">
        <v>9.0713551244688082E-3</v>
      </c>
      <c r="G31" s="346"/>
      <c r="H31" s="346">
        <v>4.4237595239851419</v>
      </c>
      <c r="I31" s="346">
        <v>-1.8284534092167237</v>
      </c>
      <c r="J31" s="343">
        <v>-0.41332567905263579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4">
        <v>0.19525069246391588</v>
      </c>
      <c r="FH31" s="364">
        <v>5.8804323719586306E-2</v>
      </c>
      <c r="FI31" s="364">
        <v>0.19393422880307748</v>
      </c>
      <c r="FJ31" s="364">
        <v>0.33471958283969416</v>
      </c>
      <c r="FK31" s="363"/>
      <c r="FL31" s="364">
        <v>1.5793591472520834</v>
      </c>
      <c r="FM31" s="364">
        <v>2.0345388120050902</v>
      </c>
      <c r="FN31" s="364">
        <v>2.253829578872375</v>
      </c>
      <c r="FO31" s="364">
        <v>2.1495889220619619</v>
      </c>
      <c r="FP31" s="364">
        <v>3.3090291386768809</v>
      </c>
      <c r="FQ31" s="364">
        <v>3.9362705572756593</v>
      </c>
      <c r="FR31" s="364">
        <v>3.3587545749386587</v>
      </c>
      <c r="FS31" s="364">
        <v>4.7320202525696908</v>
      </c>
      <c r="FT31" s="364">
        <v>3.9082653313313056</v>
      </c>
      <c r="FU31" s="364">
        <v>4.7952893412386866</v>
      </c>
      <c r="FV31" s="364">
        <v>4.8228058347153979</v>
      </c>
      <c r="FW31" s="364">
        <v>2.6667576978836847</v>
      </c>
      <c r="FX31" s="364">
        <f t="shared" si="0"/>
        <v>2.6188490581921879</v>
      </c>
      <c r="FY31" s="410"/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410"/>
      <c r="GP31" s="410"/>
      <c r="GQ31" s="360"/>
      <c r="GR31" s="360"/>
      <c r="GS31" s="360"/>
      <c r="GT31" s="360"/>
      <c r="GU31" s="360"/>
      <c r="GV31" s="360"/>
    </row>
    <row r="32" spans="1:204" s="3" customFormat="1" ht="13.8" x14ac:dyDescent="0.3">
      <c r="A32" s="17"/>
      <c r="B32" s="21" t="s">
        <v>88</v>
      </c>
      <c r="C32" s="346">
        <v>8.1935865321083803</v>
      </c>
      <c r="D32" s="346">
        <v>3.921350886216358</v>
      </c>
      <c r="E32" s="346">
        <v>4.2722356458920228</v>
      </c>
      <c r="F32" s="343">
        <v>1.0894805820384585</v>
      </c>
      <c r="G32" s="346"/>
      <c r="H32" s="346">
        <v>7.1119701402051954</v>
      </c>
      <c r="I32" s="346">
        <v>-3.1906192539888374</v>
      </c>
      <c r="J32" s="343">
        <v>-0.44862663806076963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4">
        <v>1.5342061352848371E-2</v>
      </c>
      <c r="FH32" s="364">
        <v>0.25554326274247252</v>
      </c>
      <c r="FI32" s="364">
        <v>4.4206081857447961</v>
      </c>
      <c r="FJ32" s="364">
        <v>0.33178272527573266</v>
      </c>
      <c r="FK32" s="363"/>
      <c r="FL32" s="364">
        <v>1.4878061303130732</v>
      </c>
      <c r="FM32" s="364">
        <v>2.5206738613465474</v>
      </c>
      <c r="FN32" s="364">
        <v>5.2672077139978066</v>
      </c>
      <c r="FO32" s="364">
        <v>4.9423366222387237</v>
      </c>
      <c r="FP32" s="364">
        <v>8.1497546276698269</v>
      </c>
      <c r="FQ32" s="364">
        <v>19.715142274429972</v>
      </c>
      <c r="FR32" s="364">
        <v>18.957044853806444</v>
      </c>
      <c r="FS32" s="364">
        <v>17.510663049780391</v>
      </c>
      <c r="FT32" s="364">
        <v>10.808244643575026</v>
      </c>
      <c r="FU32" s="364">
        <v>20.920563105950425</v>
      </c>
      <c r="FV32" s="364">
        <v>7.3018567737843538</v>
      </c>
      <c r="FW32" s="364">
        <v>4.2692495544926627</v>
      </c>
      <c r="FX32" s="364">
        <f t="shared" si="0"/>
        <v>8.1935865321083803</v>
      </c>
      <c r="FY32" s="410"/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410"/>
      <c r="GP32" s="410"/>
      <c r="GQ32" s="360"/>
      <c r="GR32" s="360"/>
      <c r="GS32" s="360"/>
      <c r="GT32" s="360"/>
      <c r="GU32" s="360"/>
      <c r="GV32" s="360"/>
    </row>
    <row r="33" spans="1:204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59"/>
      <c r="FJ33" s="359"/>
      <c r="FK33" s="363"/>
      <c r="FL33" s="430"/>
      <c r="FM33" s="430"/>
      <c r="FN33" s="430"/>
      <c r="FO33" s="430"/>
      <c r="FP33" s="430"/>
      <c r="FQ33" s="430"/>
      <c r="FR33" s="430"/>
      <c r="FS33" s="430"/>
      <c r="FT33" s="430"/>
      <c r="FU33" s="430"/>
      <c r="FV33" s="430"/>
      <c r="FW33" s="424"/>
      <c r="FX33" s="424"/>
      <c r="FY33" s="410"/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410"/>
      <c r="GP33" s="410"/>
      <c r="GQ33" s="360"/>
      <c r="GR33" s="360"/>
      <c r="GS33" s="360"/>
      <c r="GT33" s="360"/>
      <c r="GU33" s="360"/>
      <c r="GV33" s="360"/>
    </row>
    <row r="34" spans="1:204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2">
        <v>0</v>
      </c>
      <c r="FH34" s="362">
        <v>0</v>
      </c>
      <c r="FI34" s="362">
        <v>0</v>
      </c>
      <c r="FJ34" s="362">
        <v>0</v>
      </c>
      <c r="FK34" s="363"/>
      <c r="FL34" s="362">
        <v>0</v>
      </c>
      <c r="FM34" s="362">
        <v>5.2241556270225917</v>
      </c>
      <c r="FN34" s="362">
        <v>0.24271566453372501</v>
      </c>
      <c r="FO34" s="362">
        <v>0</v>
      </c>
      <c r="FP34" s="362">
        <v>0</v>
      </c>
      <c r="FQ34" s="362">
        <v>0</v>
      </c>
      <c r="FR34" s="362">
        <v>0</v>
      </c>
      <c r="FS34" s="362">
        <v>0</v>
      </c>
      <c r="FT34" s="362">
        <v>0</v>
      </c>
      <c r="FU34" s="362">
        <v>0</v>
      </c>
      <c r="FV34" s="362">
        <v>0</v>
      </c>
      <c r="FW34" s="362">
        <v>0</v>
      </c>
      <c r="FX34" s="362">
        <f t="shared" si="0"/>
        <v>0</v>
      </c>
      <c r="FY34" s="410"/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410"/>
      <c r="GP34" s="410"/>
      <c r="GQ34" s="360"/>
      <c r="GR34" s="360"/>
      <c r="GS34" s="360"/>
      <c r="GT34" s="360"/>
      <c r="GU34" s="360"/>
      <c r="GV34" s="360"/>
    </row>
    <row r="35" spans="1:204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4">
        <v>0</v>
      </c>
      <c r="FH35" s="364">
        <v>0</v>
      </c>
      <c r="FI35" s="364">
        <v>0</v>
      </c>
      <c r="FJ35" s="364">
        <v>0</v>
      </c>
      <c r="FK35" s="363"/>
      <c r="FL35" s="364">
        <v>0</v>
      </c>
      <c r="FM35" s="364">
        <v>5.2241556270225917</v>
      </c>
      <c r="FN35" s="364">
        <v>0.24271566453372501</v>
      </c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v>0</v>
      </c>
      <c r="FU35" s="364">
        <v>0</v>
      </c>
      <c r="FV35" s="364">
        <v>0</v>
      </c>
      <c r="FW35" s="364">
        <v>0</v>
      </c>
      <c r="FX35" s="364">
        <f t="shared" si="0"/>
        <v>0</v>
      </c>
      <c r="FY35" s="410"/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410"/>
      <c r="GP35" s="410"/>
      <c r="GQ35" s="360"/>
      <c r="GR35" s="360"/>
      <c r="GS35" s="360"/>
      <c r="GT35" s="360"/>
      <c r="GU35" s="360"/>
      <c r="GV35" s="360"/>
    </row>
    <row r="36" spans="1:204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59"/>
      <c r="FJ36" s="359"/>
      <c r="FK36" s="363"/>
      <c r="FL36" s="430"/>
      <c r="FM36" s="430"/>
      <c r="FN36" s="430"/>
      <c r="FO36" s="430"/>
      <c r="FP36" s="430"/>
      <c r="FQ36" s="430"/>
      <c r="FR36" s="430"/>
      <c r="FS36" s="430"/>
      <c r="FT36" s="430"/>
      <c r="FU36" s="430"/>
      <c r="FV36" s="430"/>
      <c r="FW36" s="424"/>
      <c r="FX36" s="424"/>
      <c r="FY36" s="410"/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410"/>
      <c r="GP36" s="410"/>
      <c r="GQ36" s="360"/>
      <c r="GR36" s="360"/>
      <c r="GS36" s="360"/>
      <c r="GT36" s="360"/>
      <c r="GU36" s="360"/>
      <c r="GV36" s="360"/>
    </row>
    <row r="37" spans="1:204" s="3" customFormat="1" ht="13.8" x14ac:dyDescent="0.3">
      <c r="A37" s="17"/>
      <c r="B37" s="27" t="s">
        <v>74</v>
      </c>
      <c r="C37" s="344">
        <v>15.112764550648999</v>
      </c>
      <c r="D37" s="344">
        <v>69.622713793267465</v>
      </c>
      <c r="E37" s="344">
        <v>-54.509949242618468</v>
      </c>
      <c r="F37" s="347">
        <v>-0.78293341745448586</v>
      </c>
      <c r="G37" s="345"/>
      <c r="H37" s="344">
        <v>70.320447177926553</v>
      </c>
      <c r="I37" s="344">
        <v>-0.69773338465908807</v>
      </c>
      <c r="J37" s="347">
        <v>-9.922197776895042E-3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2">
        <v>0.62462076914602471</v>
      </c>
      <c r="FH37" s="362">
        <v>1.468728777814972</v>
      </c>
      <c r="FI37" s="362">
        <v>4.3089721625222728</v>
      </c>
      <c r="FJ37" s="362">
        <v>0.93826439398747563</v>
      </c>
      <c r="FK37" s="363"/>
      <c r="FL37" s="362">
        <v>186.85014946461359</v>
      </c>
      <c r="FM37" s="362">
        <v>101.24823028147968</v>
      </c>
      <c r="FN37" s="362">
        <v>155.93495831584204</v>
      </c>
      <c r="FO37" s="362">
        <v>271.11905803815284</v>
      </c>
      <c r="FP37" s="362">
        <v>47.995590587226026</v>
      </c>
      <c r="FQ37" s="362">
        <v>28.960465069100177</v>
      </c>
      <c r="FR37" s="362">
        <v>26.9017358564017</v>
      </c>
      <c r="FS37" s="362">
        <v>46.21496919988499</v>
      </c>
      <c r="FT37" s="362">
        <v>43.499480164728283</v>
      </c>
      <c r="FU37" s="362">
        <v>54.509724160557163</v>
      </c>
      <c r="FV37" s="362">
        <v>87.705264219631175</v>
      </c>
      <c r="FW37" s="362">
        <v>71.987572747505965</v>
      </c>
      <c r="FX37" s="362">
        <f t="shared" si="0"/>
        <v>15.112764550648999</v>
      </c>
      <c r="FY37" s="410"/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410"/>
      <c r="GP37" s="410"/>
      <c r="GQ37" s="360"/>
      <c r="GR37" s="360"/>
      <c r="GS37" s="360"/>
      <c r="GT37" s="360"/>
      <c r="GU37" s="360"/>
      <c r="GV37" s="360"/>
    </row>
    <row r="38" spans="1:204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59"/>
      <c r="FK38" s="363"/>
      <c r="FL38" s="359"/>
      <c r="FM38" s="359"/>
      <c r="FN38" s="359"/>
      <c r="FO38" s="359"/>
      <c r="FP38" s="359"/>
      <c r="FQ38" s="359"/>
      <c r="FR38" s="359"/>
      <c r="FS38" s="359"/>
      <c r="FT38" s="359"/>
      <c r="FU38" s="359"/>
      <c r="FV38" s="359"/>
      <c r="FW38" s="424"/>
      <c r="FX38" s="424"/>
      <c r="FY38" s="410"/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410"/>
      <c r="GP38" s="410"/>
      <c r="GQ38" s="360"/>
      <c r="GR38" s="360"/>
      <c r="GS38" s="360"/>
      <c r="GT38" s="360"/>
      <c r="GU38" s="360"/>
      <c r="GV38" s="360"/>
    </row>
    <row r="39" spans="1:204" s="3" customFormat="1" ht="13.8" x14ac:dyDescent="0.3">
      <c r="A39" s="17"/>
      <c r="B39" s="27" t="s">
        <v>89</v>
      </c>
      <c r="C39" s="349">
        <v>1598.6363636363637</v>
      </c>
      <c r="D39" s="349">
        <v>1642.4545454545455</v>
      </c>
      <c r="E39" s="349">
        <v>-43.818181818181756</v>
      </c>
      <c r="F39" s="347">
        <v>-2.6678474566889872E-2</v>
      </c>
      <c r="G39" s="345"/>
      <c r="H39" s="349">
        <v>1646.8181818181818</v>
      </c>
      <c r="I39" s="349">
        <v>-4.3636363636362603</v>
      </c>
      <c r="J39" s="347">
        <v>-2.6497377863648284E-3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7">
        <v>1615</v>
      </c>
      <c r="FH39" s="367">
        <v>1643</v>
      </c>
      <c r="FI39" s="367">
        <v>1618</v>
      </c>
      <c r="FJ39" s="367">
        <v>1615</v>
      </c>
      <c r="FK39" s="363"/>
      <c r="FL39" s="367"/>
      <c r="FM39" s="367"/>
      <c r="FN39" s="367"/>
      <c r="FO39" s="367"/>
      <c r="FP39" s="367"/>
      <c r="FQ39" s="367"/>
      <c r="FR39" s="367"/>
      <c r="FS39" s="367"/>
      <c r="FT39" s="367"/>
      <c r="FU39" s="367"/>
      <c r="FV39" s="367">
        <f>+H39</f>
        <v>1646.8181818181818</v>
      </c>
      <c r="FW39" s="367">
        <f>+D39</f>
        <v>1642.4545454545455</v>
      </c>
      <c r="FX39" s="367">
        <f t="shared" si="0"/>
        <v>1598.6363636363637</v>
      </c>
      <c r="FY39" s="410"/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410"/>
      <c r="GP39" s="410"/>
      <c r="GQ39" s="360"/>
      <c r="GR39" s="360"/>
      <c r="GS39" s="360"/>
      <c r="GT39" s="360"/>
      <c r="GU39" s="360"/>
      <c r="GV39" s="360"/>
    </row>
    <row r="40" spans="1:204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265"/>
      <c r="FJ40" s="265"/>
      <c r="FK40" s="363"/>
      <c r="FL40" s="35"/>
      <c r="FM40" s="35"/>
      <c r="FN40" s="35"/>
      <c r="FO40" s="35"/>
      <c r="FP40" s="35"/>
      <c r="FQ40" s="35"/>
      <c r="FU40" s="360"/>
      <c r="FV40" s="360"/>
      <c r="FW40" s="360"/>
      <c r="FX40" s="360"/>
      <c r="FY40" s="410"/>
      <c r="FZ40" s="410"/>
      <c r="GA40" s="410"/>
      <c r="GB40" s="410"/>
      <c r="GC40" s="410"/>
      <c r="GD40" s="410"/>
      <c r="GE40" s="410"/>
      <c r="GF40" s="410"/>
      <c r="GG40" s="410"/>
      <c r="GH40" s="410"/>
    </row>
    <row r="41" spans="1:204" ht="13.8" hidden="1" x14ac:dyDescent="0.3">
      <c r="FS41" s="3"/>
      <c r="FT41" s="3"/>
      <c r="FU41" s="360"/>
      <c r="FV41" s="360"/>
      <c r="FW41" s="360"/>
      <c r="FX41" s="360"/>
    </row>
    <row r="42" spans="1:204" ht="13.8" hidden="1" x14ac:dyDescent="0.3">
      <c r="FS42" s="3"/>
      <c r="FT42" s="3"/>
      <c r="FU42" s="360"/>
      <c r="FV42" s="360"/>
      <c r="FW42" s="360"/>
      <c r="FX42" s="360"/>
    </row>
    <row r="43" spans="1:204" ht="13.8" hidden="1" x14ac:dyDescent="0.3">
      <c r="FS43" s="3"/>
      <c r="FT43" s="3"/>
      <c r="FU43" s="360"/>
      <c r="FV43" s="360"/>
      <c r="FW43" s="360"/>
      <c r="FX43" s="360"/>
    </row>
    <row r="44" spans="1:204" ht="13.8" hidden="1" x14ac:dyDescent="0.3">
      <c r="FS44" s="3"/>
      <c r="FT44" s="3"/>
      <c r="FU44" s="360"/>
      <c r="FV44" s="360"/>
      <c r="FW44" s="360"/>
      <c r="FX44" s="360"/>
    </row>
    <row r="45" spans="1:204" ht="12.75" customHeight="1" x14ac:dyDescent="0.3">
      <c r="FS45" s="3"/>
    </row>
    <row r="46" spans="1:204" ht="12.75" customHeight="1" x14ac:dyDescent="0.3">
      <c r="FS46" s="3"/>
    </row>
    <row r="47" spans="1:204" ht="12.75" hidden="1" customHeight="1" x14ac:dyDescent="0.3">
      <c r="FS47" s="3"/>
    </row>
    <row r="48" spans="1:204" ht="12.75" hidden="1" customHeight="1" x14ac:dyDescent="0.3">
      <c r="FS48" s="3"/>
    </row>
    <row r="49" spans="175:175" ht="12.75" hidden="1" customHeight="1" x14ac:dyDescent="0.3">
      <c r="FS49" s="3"/>
    </row>
    <row r="50" spans="175:175" ht="12.75" hidden="1" customHeight="1" x14ac:dyDescent="0.3">
      <c r="FS50" s="3"/>
    </row>
    <row r="51" spans="175:175" ht="12.75" hidden="1" customHeight="1" x14ac:dyDescent="0.3">
      <c r="FS51" s="3"/>
    </row>
    <row r="52" spans="175:175" ht="12.75" hidden="1" customHeight="1" x14ac:dyDescent="0.3">
      <c r="FS52" s="3"/>
    </row>
    <row r="53" spans="175:175" ht="12.75" hidden="1" customHeight="1" x14ac:dyDescent="0.3">
      <c r="FS53" s="3"/>
    </row>
    <row r="54" spans="175:175" ht="12.75" hidden="1" customHeight="1" x14ac:dyDescent="0.3">
      <c r="FS54" s="3"/>
    </row>
    <row r="55" spans="175:175" ht="12.75" hidden="1" customHeight="1" x14ac:dyDescent="0.3">
      <c r="FS55" s="3"/>
    </row>
    <row r="56" spans="175:175" ht="12.75" hidden="1" customHeight="1" x14ac:dyDescent="0.3">
      <c r="FS56" s="3"/>
    </row>
    <row r="57" spans="175:175" ht="12.75" hidden="1" customHeight="1" x14ac:dyDescent="0.3">
      <c r="FS57" s="3"/>
    </row>
    <row r="58" spans="175:175" ht="12.75" hidden="1" customHeight="1" x14ac:dyDescent="0.3">
      <c r="FS58" s="3"/>
    </row>
    <row r="59" spans="175:175" ht="12.75" hidden="1" customHeight="1" x14ac:dyDescent="0.3">
      <c r="FS59" s="3"/>
    </row>
    <row r="60" spans="175:175" ht="12.75" hidden="1" customHeight="1" x14ac:dyDescent="0.3">
      <c r="FS60" s="3"/>
    </row>
    <row r="61" spans="175:175" ht="12.75" hidden="1" customHeight="1" x14ac:dyDescent="0.3">
      <c r="FS61" s="3"/>
    </row>
    <row r="62" spans="175:175" ht="12.75" hidden="1" customHeight="1" x14ac:dyDescent="0.3">
      <c r="FS62" s="3"/>
    </row>
    <row r="63" spans="175:175" ht="12.75" hidden="1" customHeight="1" x14ac:dyDescent="0.3">
      <c r="FS63" s="3"/>
    </row>
    <row r="64" spans="175:175" ht="12.75" hidden="1" customHeight="1" x14ac:dyDescent="0.3">
      <c r="FS64" s="3"/>
    </row>
    <row r="65" spans="175:175" ht="12.75" hidden="1" customHeight="1" x14ac:dyDescent="0.3">
      <c r="FS65" s="3"/>
    </row>
    <row r="66" spans="175:175" ht="12.75" hidden="1" customHeight="1" x14ac:dyDescent="0.3">
      <c r="FS66" s="3"/>
    </row>
    <row r="67" spans="175:175" ht="12.75" hidden="1" customHeight="1" x14ac:dyDescent="0.3">
      <c r="FS67" s="3"/>
    </row>
    <row r="68" spans="175:175" ht="12.75" hidden="1" customHeight="1" x14ac:dyDescent="0.3">
      <c r="FS68" s="3"/>
    </row>
    <row r="69" spans="175:175" ht="12.75" hidden="1" customHeight="1" x14ac:dyDescent="0.3">
      <c r="FS69" s="3"/>
    </row>
    <row r="70" spans="175:175" ht="12.75" hidden="1" customHeight="1" x14ac:dyDescent="0.3">
      <c r="FS70" s="3"/>
    </row>
    <row r="71" spans="175:175" ht="12.75" hidden="1" customHeight="1" x14ac:dyDescent="0.3">
      <c r="FS71" s="3"/>
    </row>
    <row r="72" spans="175:175" ht="12.75" hidden="1" customHeight="1" x14ac:dyDescent="0.3">
      <c r="FS72" s="3"/>
    </row>
    <row r="73" spans="175:175" ht="12.75" hidden="1" customHeight="1" x14ac:dyDescent="0.3">
      <c r="FS73" s="3"/>
    </row>
    <row r="74" spans="175:175" ht="12.75" hidden="1" customHeight="1" x14ac:dyDescent="0.3">
      <c r="FS74" s="3"/>
    </row>
    <row r="75" spans="175:175" ht="12.75" hidden="1" customHeight="1" x14ac:dyDescent="0.3">
      <c r="FS75" s="3"/>
    </row>
    <row r="76" spans="175:175" ht="12.75" hidden="1" customHeight="1" x14ac:dyDescent="0.3">
      <c r="FS76" s="3"/>
    </row>
    <row r="77" spans="175:175" ht="12.75" hidden="1" customHeight="1" x14ac:dyDescent="0.3">
      <c r="FS77" s="3"/>
    </row>
    <row r="78" spans="175:175" ht="12.75" hidden="1" customHeight="1" x14ac:dyDescent="0.3">
      <c r="FS78" s="3"/>
    </row>
    <row r="79" spans="175:175" ht="12.75" hidden="1" customHeight="1" x14ac:dyDescent="0.3">
      <c r="FS79" s="3"/>
    </row>
    <row r="80" spans="175:175" ht="12.75" hidden="1" customHeight="1" x14ac:dyDescent="0.3">
      <c r="FS80" s="3"/>
    </row>
    <row r="81" spans="175:175" ht="12.75" hidden="1" customHeight="1" x14ac:dyDescent="0.3">
      <c r="FS81" s="3"/>
    </row>
    <row r="82" spans="175:175" ht="12.75" hidden="1" customHeight="1" x14ac:dyDescent="0.3">
      <c r="FS82" s="3"/>
    </row>
    <row r="83" spans="175:175" ht="12.75" hidden="1" customHeight="1" x14ac:dyDescent="0.3">
      <c r="FS83" s="3"/>
    </row>
    <row r="84" spans="175:175" ht="12.75" hidden="1" customHeight="1" x14ac:dyDescent="0.3">
      <c r="FS84" s="3"/>
    </row>
    <row r="85" spans="175:175" ht="12.75" hidden="1" customHeight="1" x14ac:dyDescent="0.3">
      <c r="FS85" s="3"/>
    </row>
    <row r="86" spans="175:175" ht="12.75" hidden="1" customHeight="1" x14ac:dyDescent="0.3">
      <c r="FS86" s="3"/>
    </row>
    <row r="87" spans="175:175" ht="12.75" hidden="1" customHeight="1" x14ac:dyDescent="0.3">
      <c r="FS87" s="3"/>
    </row>
    <row r="88" spans="175:175" ht="12.75" hidden="1" customHeight="1" x14ac:dyDescent="0.3">
      <c r="FS88" s="3"/>
    </row>
    <row r="89" spans="175:175" ht="12.75" hidden="1" customHeight="1" x14ac:dyDescent="0.3">
      <c r="FS89" s="3"/>
    </row>
    <row r="90" spans="175:175" ht="12.75" hidden="1" customHeight="1" x14ac:dyDescent="0.3">
      <c r="FS90" s="3"/>
    </row>
    <row r="91" spans="175:175" ht="12.75" hidden="1" customHeight="1" x14ac:dyDescent="0.3">
      <c r="FS91" s="3"/>
    </row>
    <row r="92" spans="175:175" ht="12.75" hidden="1" customHeight="1" x14ac:dyDescent="0.3">
      <c r="FS92" s="3"/>
    </row>
    <row r="93" spans="175:175" ht="12.75" hidden="1" customHeight="1" x14ac:dyDescent="0.3">
      <c r="FS93" s="3"/>
    </row>
    <row r="94" spans="175:175" ht="12.75" hidden="1" customHeight="1" x14ac:dyDescent="0.3">
      <c r="FS94" s="3"/>
    </row>
    <row r="95" spans="175:175" ht="12.75" hidden="1" customHeight="1" x14ac:dyDescent="0.3">
      <c r="FS95" s="3"/>
    </row>
    <row r="96" spans="175:175" ht="12.75" hidden="1" customHeight="1" x14ac:dyDescent="0.3">
      <c r="FS96" s="3"/>
    </row>
    <row r="97" spans="175:175" ht="12.75" hidden="1" customHeight="1" x14ac:dyDescent="0.3">
      <c r="FS97" s="3"/>
    </row>
    <row r="98" spans="175:175" ht="12.75" hidden="1" customHeight="1" x14ac:dyDescent="0.3">
      <c r="FS98" s="3"/>
    </row>
    <row r="99" spans="175:175" ht="12.75" hidden="1" customHeight="1" x14ac:dyDescent="0.3">
      <c r="FS99" s="3"/>
    </row>
    <row r="100" spans="175:175" ht="12.75" hidden="1" customHeight="1" x14ac:dyDescent="0.3">
      <c r="FS100" s="3"/>
    </row>
    <row r="101" spans="175:175" ht="12.75" hidden="1" customHeight="1" x14ac:dyDescent="0.3">
      <c r="FS101" s="3"/>
    </row>
    <row r="102" spans="175:175" ht="12.75" hidden="1" customHeight="1" x14ac:dyDescent="0.3">
      <c r="FS102" s="3"/>
    </row>
    <row r="103" spans="175:175" ht="12.75" hidden="1" customHeight="1" x14ac:dyDescent="0.3">
      <c r="FS103" s="3"/>
    </row>
    <row r="104" spans="175:175" ht="12.75" hidden="1" customHeight="1" x14ac:dyDescent="0.3">
      <c r="FS104" s="3"/>
    </row>
    <row r="105" spans="175:175" ht="12.75" hidden="1" customHeight="1" x14ac:dyDescent="0.3">
      <c r="FS105" s="3"/>
    </row>
    <row r="106" spans="175:175" ht="12.75" hidden="1" customHeight="1" x14ac:dyDescent="0.3">
      <c r="FS106" s="3"/>
    </row>
    <row r="107" spans="175:175" ht="12.75" hidden="1" customHeight="1" x14ac:dyDescent="0.3">
      <c r="FS107" s="3"/>
    </row>
    <row r="108" spans="175:175" ht="12.75" hidden="1" customHeight="1" x14ac:dyDescent="0.3">
      <c r="FS108" s="3"/>
    </row>
    <row r="109" spans="175:175" ht="12.75" hidden="1" customHeight="1" x14ac:dyDescent="0.3">
      <c r="FS109" s="3"/>
    </row>
    <row r="110" spans="175:175" ht="12.75" hidden="1" customHeight="1" x14ac:dyDescent="0.3">
      <c r="FS110" s="3"/>
    </row>
    <row r="111" spans="175:175" ht="12.75" hidden="1" customHeight="1" x14ac:dyDescent="0.3">
      <c r="FS111" s="3"/>
    </row>
    <row r="112" spans="175:175" ht="12.75" hidden="1" customHeight="1" x14ac:dyDescent="0.3">
      <c r="FS112" s="3"/>
    </row>
    <row r="113" spans="175:175" ht="12.75" hidden="1" customHeight="1" x14ac:dyDescent="0.3">
      <c r="FS113" s="3"/>
    </row>
    <row r="114" spans="175:175" ht="12.75" hidden="1" customHeight="1" x14ac:dyDescent="0.3">
      <c r="FS114" s="3"/>
    </row>
    <row r="115" spans="175:175" ht="12.75" hidden="1" customHeight="1" x14ac:dyDescent="0.3">
      <c r="FS115" s="3"/>
    </row>
    <row r="116" spans="175:175" ht="12.75" hidden="1" customHeight="1" x14ac:dyDescent="0.3">
      <c r="FS116" s="3"/>
    </row>
    <row r="117" spans="175:175" ht="12.75" hidden="1" customHeight="1" x14ac:dyDescent="0.3">
      <c r="FS117" s="3"/>
    </row>
    <row r="118" spans="175:175" ht="12.75" hidden="1" customHeight="1" x14ac:dyDescent="0.3">
      <c r="FS118" s="3"/>
    </row>
    <row r="119" spans="175:175" ht="12.75" hidden="1" customHeight="1" x14ac:dyDescent="0.3">
      <c r="FS119" s="3"/>
    </row>
    <row r="120" spans="175:175" ht="12.75" hidden="1" customHeight="1" x14ac:dyDescent="0.3">
      <c r="FS120" s="3"/>
    </row>
    <row r="121" spans="175:175" ht="12.75" hidden="1" customHeight="1" x14ac:dyDescent="0.3">
      <c r="FS121" s="3"/>
    </row>
    <row r="122" spans="175:175" ht="12.75" hidden="1" customHeight="1" x14ac:dyDescent="0.3">
      <c r="FS122" s="3"/>
    </row>
    <row r="123" spans="175:175" ht="12.75" hidden="1" customHeight="1" x14ac:dyDescent="0.3">
      <c r="FS123" s="3"/>
    </row>
    <row r="124" spans="175:175" ht="12.75" hidden="1" customHeight="1" x14ac:dyDescent="0.3">
      <c r="FS124" s="3"/>
    </row>
    <row r="125" spans="175:175" ht="12.75" hidden="1" customHeight="1" x14ac:dyDescent="0.3">
      <c r="FS125" s="3"/>
    </row>
    <row r="126" spans="175:175" ht="12.75" hidden="1" customHeight="1" x14ac:dyDescent="0.3">
      <c r="FS126" s="3"/>
    </row>
    <row r="127" spans="175:175" ht="12.75" hidden="1" customHeight="1" x14ac:dyDescent="0.3">
      <c r="FS127" s="3"/>
    </row>
    <row r="128" spans="175:175" ht="12.75" hidden="1" customHeight="1" x14ac:dyDescent="0.3">
      <c r="FS128" s="3"/>
    </row>
    <row r="129" spans="175:175" ht="12.75" hidden="1" customHeight="1" x14ac:dyDescent="0.3">
      <c r="FS129" s="3"/>
    </row>
    <row r="130" spans="175:175" ht="12.75" hidden="1" customHeight="1" x14ac:dyDescent="0.3">
      <c r="FS130" s="3"/>
    </row>
    <row r="131" spans="175:175" ht="12.75" hidden="1" customHeight="1" x14ac:dyDescent="0.3">
      <c r="FS131" s="3"/>
    </row>
    <row r="132" spans="175:175" ht="12.75" hidden="1" customHeight="1" x14ac:dyDescent="0.3">
      <c r="FS132" s="3"/>
    </row>
    <row r="133" spans="175:175" ht="12.75" hidden="1" customHeight="1" x14ac:dyDescent="0.3">
      <c r="FS133" s="3"/>
    </row>
    <row r="134" spans="175:175" ht="12.75" hidden="1" customHeight="1" x14ac:dyDescent="0.3">
      <c r="FS134" s="3"/>
    </row>
    <row r="135" spans="175:175" ht="12.75" hidden="1" customHeight="1" x14ac:dyDescent="0.3">
      <c r="FS135" s="3"/>
    </row>
    <row r="136" spans="175:175" ht="12.75" hidden="1" customHeight="1" x14ac:dyDescent="0.3">
      <c r="FS136" s="3"/>
    </row>
    <row r="137" spans="175:175" ht="12.75" hidden="1" customHeight="1" x14ac:dyDescent="0.3">
      <c r="FS137" s="3"/>
    </row>
    <row r="138" spans="175:175" ht="12.75" hidden="1" customHeight="1" x14ac:dyDescent="0.3">
      <c r="FS138" s="3"/>
    </row>
    <row r="139" spans="175:175" ht="12.75" hidden="1" customHeight="1" x14ac:dyDescent="0.3">
      <c r="FS139" s="3"/>
    </row>
    <row r="140" spans="175:175" ht="12.75" hidden="1" customHeight="1" x14ac:dyDescent="0.3">
      <c r="FS140" s="3"/>
    </row>
    <row r="141" spans="175:175" ht="12.75" hidden="1" customHeight="1" x14ac:dyDescent="0.3">
      <c r="FS141" s="3"/>
    </row>
    <row r="142" spans="175:175" ht="12.75" hidden="1" customHeight="1" x14ac:dyDescent="0.3">
      <c r="FS142" s="3"/>
    </row>
    <row r="143" spans="175:175" ht="12.75" hidden="1" customHeight="1" x14ac:dyDescent="0.3">
      <c r="FS143" s="3"/>
    </row>
    <row r="144" spans="175:175" ht="12.75" hidden="1" customHeight="1" x14ac:dyDescent="0.3">
      <c r="FS144" s="3"/>
    </row>
    <row r="145" spans="175:175" ht="12.75" hidden="1" customHeight="1" x14ac:dyDescent="0.3">
      <c r="FS145" s="3"/>
    </row>
    <row r="146" spans="175:175" ht="12.75" hidden="1" customHeight="1" x14ac:dyDescent="0.3">
      <c r="FS146" s="3"/>
    </row>
    <row r="147" spans="175:175" ht="12.75" hidden="1" customHeight="1" x14ac:dyDescent="0.3">
      <c r="FS147" s="3"/>
    </row>
    <row r="148" spans="175:175" ht="12.75" hidden="1" customHeight="1" x14ac:dyDescent="0.3">
      <c r="FS148" s="3"/>
    </row>
    <row r="149" spans="175:175" ht="12.75" hidden="1" customHeight="1" x14ac:dyDescent="0.3">
      <c r="FS149" s="3"/>
    </row>
    <row r="150" spans="175:175" ht="12.75" hidden="1" customHeight="1" x14ac:dyDescent="0.3">
      <c r="FS150" s="3"/>
    </row>
    <row r="151" spans="175:175" ht="12.75" hidden="1" customHeight="1" x14ac:dyDescent="0.3">
      <c r="FS151" s="3"/>
    </row>
    <row r="152" spans="175:175" ht="12.75" hidden="1" customHeight="1" x14ac:dyDescent="0.3">
      <c r="FS152" s="3"/>
    </row>
    <row r="153" spans="175:175" ht="12.75" hidden="1" customHeight="1" x14ac:dyDescent="0.3">
      <c r="FS153" s="3"/>
    </row>
    <row r="154" spans="175:175" ht="12.75" hidden="1" customHeight="1" x14ac:dyDescent="0.3">
      <c r="FS154" s="3"/>
    </row>
    <row r="155" spans="175:175" ht="12.75" hidden="1" customHeight="1" x14ac:dyDescent="0.3">
      <c r="FS155" s="3"/>
    </row>
    <row r="156" spans="175:175" ht="12.75" hidden="1" customHeight="1" x14ac:dyDescent="0.3">
      <c r="FS156" s="3"/>
    </row>
    <row r="157" spans="175:175" ht="12.75" hidden="1" customHeight="1" x14ac:dyDescent="0.3">
      <c r="FS157" s="3"/>
    </row>
    <row r="158" spans="175:175" ht="12.75" hidden="1" customHeight="1" x14ac:dyDescent="0.3">
      <c r="FS158" s="3"/>
    </row>
    <row r="159" spans="175:175" ht="12.75" hidden="1" customHeight="1" x14ac:dyDescent="0.3">
      <c r="FS159" s="3"/>
    </row>
    <row r="160" spans="175:175" ht="12.75" hidden="1" customHeight="1" x14ac:dyDescent="0.3">
      <c r="FS160" s="3"/>
    </row>
    <row r="161" spans="175:175" ht="12.75" hidden="1" customHeight="1" x14ac:dyDescent="0.3">
      <c r="FS161" s="3"/>
    </row>
    <row r="162" spans="175:175" ht="12.75" hidden="1" customHeight="1" x14ac:dyDescent="0.3">
      <c r="FS162" s="3"/>
    </row>
    <row r="163" spans="175:175" ht="12.75" hidden="1" customHeight="1" x14ac:dyDescent="0.3">
      <c r="FS163" s="3"/>
    </row>
    <row r="164" spans="175:175" ht="12.75" hidden="1" customHeight="1" x14ac:dyDescent="0.3">
      <c r="FS164" s="3"/>
    </row>
    <row r="165" spans="175:175" ht="12.75" hidden="1" customHeight="1" x14ac:dyDescent="0.3">
      <c r="FS165" s="3"/>
    </row>
    <row r="166" spans="175:175" ht="12.75" hidden="1" customHeight="1" x14ac:dyDescent="0.3">
      <c r="FS166" s="3"/>
    </row>
    <row r="167" spans="175:175" ht="12.75" hidden="1" customHeight="1" x14ac:dyDescent="0.3">
      <c r="FS167" s="3"/>
    </row>
    <row r="168" spans="175:175" ht="12.75" hidden="1" customHeight="1" x14ac:dyDescent="0.3">
      <c r="FS168" s="3"/>
    </row>
    <row r="169" spans="175:175" ht="12.75" hidden="1" customHeight="1" x14ac:dyDescent="0.3">
      <c r="FS169" s="3"/>
    </row>
    <row r="170" spans="175:175" ht="12.75" hidden="1" customHeight="1" x14ac:dyDescent="0.3">
      <c r="FS170" s="3"/>
    </row>
    <row r="171" spans="175:175" ht="12.75" hidden="1" customHeight="1" x14ac:dyDescent="0.3">
      <c r="FS171" s="3"/>
    </row>
    <row r="172" spans="175:175" ht="12.75" hidden="1" customHeight="1" x14ac:dyDescent="0.3">
      <c r="FS172" s="3"/>
    </row>
    <row r="173" spans="175:175" ht="12.75" hidden="1" customHeight="1" x14ac:dyDescent="0.3">
      <c r="FS173" s="3"/>
    </row>
    <row r="174" spans="175:175" ht="12.75" hidden="1" customHeight="1" x14ac:dyDescent="0.3">
      <c r="FS174" s="3"/>
    </row>
    <row r="175" spans="175:175" ht="12.75" hidden="1" customHeight="1" x14ac:dyDescent="0.3">
      <c r="FS175" s="3"/>
    </row>
    <row r="176" spans="175:175" ht="12.75" hidden="1" customHeight="1" x14ac:dyDescent="0.3">
      <c r="FS176" s="3"/>
    </row>
    <row r="177" spans="175:175" ht="12.75" hidden="1" customHeight="1" x14ac:dyDescent="0.3">
      <c r="FS177" s="3"/>
    </row>
    <row r="178" spans="175:175" ht="12.75" hidden="1" customHeight="1" x14ac:dyDescent="0.3">
      <c r="FS178" s="3"/>
    </row>
    <row r="179" spans="175:175" ht="12.75" hidden="1" customHeight="1" x14ac:dyDescent="0.3">
      <c r="FS179" s="3"/>
    </row>
    <row r="180" spans="175:175" ht="12.75" hidden="1" customHeight="1" x14ac:dyDescent="0.3">
      <c r="FS180" s="3"/>
    </row>
    <row r="181" spans="175:175" ht="12.75" hidden="1" customHeight="1" x14ac:dyDescent="0.3">
      <c r="FS181" s="3"/>
    </row>
    <row r="182" spans="175:175" ht="12.75" hidden="1" customHeight="1" x14ac:dyDescent="0.3">
      <c r="FS182" s="3"/>
    </row>
    <row r="183" spans="175:175" ht="12.75" hidden="1" customHeight="1" x14ac:dyDescent="0.3">
      <c r="FS183" s="3"/>
    </row>
    <row r="184" spans="175:175" ht="12.75" hidden="1" customHeight="1" x14ac:dyDescent="0.3">
      <c r="FS184" s="3"/>
    </row>
    <row r="185" spans="175:175" ht="12.75" hidden="1" customHeight="1" x14ac:dyDescent="0.3">
      <c r="FS185" s="3"/>
    </row>
    <row r="186" spans="175:175" ht="12.75" hidden="1" customHeight="1" x14ac:dyDescent="0.3">
      <c r="FS186" s="3"/>
    </row>
    <row r="187" spans="175:175" ht="12.75" hidden="1" customHeight="1" x14ac:dyDescent="0.3">
      <c r="FS187" s="3"/>
    </row>
    <row r="188" spans="175:175" ht="12.75" hidden="1" customHeight="1" x14ac:dyDescent="0.3">
      <c r="FS188" s="3"/>
    </row>
    <row r="189" spans="175:175" ht="12.75" hidden="1" customHeight="1" x14ac:dyDescent="0.3">
      <c r="FS189" s="3"/>
    </row>
    <row r="190" spans="175:175" ht="12.75" hidden="1" customHeight="1" x14ac:dyDescent="0.3">
      <c r="FS190" s="3"/>
    </row>
    <row r="191" spans="175:175" ht="12.75" hidden="1" customHeight="1" x14ac:dyDescent="0.3">
      <c r="FS191" s="3"/>
    </row>
    <row r="192" spans="175:175" ht="12.75" hidden="1" customHeight="1" x14ac:dyDescent="0.3">
      <c r="FS192" s="3"/>
    </row>
    <row r="193" spans="175:175" ht="12.75" hidden="1" customHeight="1" x14ac:dyDescent="0.3">
      <c r="FS193" s="3"/>
    </row>
    <row r="194" spans="175:175" ht="12.75" hidden="1" customHeight="1" x14ac:dyDescent="0.3">
      <c r="FS194" s="3"/>
    </row>
    <row r="195" spans="175:175" ht="12.75" hidden="1" customHeight="1" x14ac:dyDescent="0.3">
      <c r="FS195" s="3"/>
    </row>
    <row r="196" spans="175:175" ht="12.75" hidden="1" customHeight="1" x14ac:dyDescent="0.3">
      <c r="FS196" s="3"/>
    </row>
    <row r="197" spans="175:175" ht="12.75" hidden="1" customHeight="1" x14ac:dyDescent="0.3">
      <c r="FS197" s="3"/>
    </row>
    <row r="198" spans="175:175" ht="12.75" hidden="1" customHeight="1" x14ac:dyDescent="0.3">
      <c r="FS198" s="3"/>
    </row>
    <row r="199" spans="175:175" ht="12.75" hidden="1" customHeight="1" x14ac:dyDescent="0.3">
      <c r="FS199" s="3"/>
    </row>
    <row r="200" spans="175:175" ht="12.75" hidden="1" customHeight="1" x14ac:dyDescent="0.3">
      <c r="FS200" s="3"/>
    </row>
    <row r="201" spans="175:175" ht="12.75" hidden="1" customHeight="1" x14ac:dyDescent="0.3">
      <c r="FS201" s="3"/>
    </row>
    <row r="202" spans="175:175" ht="12.75" hidden="1" customHeight="1" x14ac:dyDescent="0.3">
      <c r="FS202" s="3"/>
    </row>
    <row r="203" spans="175:175" ht="12.75" hidden="1" customHeight="1" x14ac:dyDescent="0.3">
      <c r="FS203" s="3"/>
    </row>
    <row r="204" spans="175:175" ht="12.75" hidden="1" customHeight="1" x14ac:dyDescent="0.3">
      <c r="FS204" s="3"/>
    </row>
    <row r="205" spans="175:175" ht="12.75" hidden="1" customHeight="1" x14ac:dyDescent="0.3">
      <c r="FS205" s="3"/>
    </row>
    <row r="206" spans="175:175" ht="12.75" hidden="1" customHeight="1" x14ac:dyDescent="0.3">
      <c r="FS206" s="3"/>
    </row>
    <row r="207" spans="175:175" ht="12.75" hidden="1" customHeight="1" x14ac:dyDescent="0.3">
      <c r="FS207" s="3"/>
    </row>
    <row r="208" spans="175:175" ht="12.75" hidden="1" customHeight="1" x14ac:dyDescent="0.3">
      <c r="FS208" s="3"/>
    </row>
    <row r="209" spans="175:175" ht="12.75" hidden="1" customHeight="1" x14ac:dyDescent="0.3">
      <c r="FS209" s="3"/>
    </row>
    <row r="210" spans="175:175" ht="12.75" hidden="1" customHeight="1" x14ac:dyDescent="0.3">
      <c r="FS210" s="3"/>
    </row>
    <row r="211" spans="175:175" ht="12.75" hidden="1" customHeight="1" x14ac:dyDescent="0.3">
      <c r="FS211" s="3"/>
    </row>
    <row r="212" spans="175:175" ht="12.75" hidden="1" customHeight="1" x14ac:dyDescent="0.3"/>
    <row r="213" spans="175:175" ht="12.75" hidden="1" customHeight="1" x14ac:dyDescent="0.3"/>
    <row r="214" spans="175:175" ht="12.75" hidden="1" customHeight="1" x14ac:dyDescent="0.3"/>
    <row r="215" spans="175:175" ht="12.75" hidden="1" customHeight="1" x14ac:dyDescent="0.3"/>
    <row r="216" spans="175:175" ht="12.75" hidden="1" customHeight="1" x14ac:dyDescent="0.3"/>
  </sheetData>
  <mergeCells count="6">
    <mergeCell ref="FL6:FS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Q216"/>
  <sheetViews>
    <sheetView showGridLines="0" zoomScale="80" zoomScaleNormal="80" zoomScaleSheetLayoutView="100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FJ20" sqref="FJ20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7" width="11.6640625" style="58" customWidth="1"/>
    <col min="168" max="174" width="9.5546875" style="58" customWidth="1"/>
    <col min="175" max="175" width="9.5546875" style="1" customWidth="1"/>
    <col min="176" max="176" width="11.44140625" style="1" customWidth="1"/>
    <col min="177" max="180" width="11.44140625" style="358" customWidth="1"/>
    <col min="181" max="187" width="11.44140625" style="1" customWidth="1"/>
    <col min="188" max="188" width="12.109375" style="58" customWidth="1"/>
    <col min="189" max="16384" width="11.44140625" style="58"/>
  </cols>
  <sheetData>
    <row r="1" spans="1:199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358"/>
      <c r="FK1" s="358"/>
      <c r="FL1" s="1"/>
      <c r="FM1" s="1"/>
      <c r="FN1" s="1"/>
      <c r="FO1" s="1"/>
      <c r="FP1" s="1"/>
      <c r="FQ1" s="1"/>
      <c r="FR1" s="1"/>
    </row>
    <row r="2" spans="1:199" ht="15.6" x14ac:dyDescent="0.3">
      <c r="A2" s="51"/>
      <c r="B2" s="471" t="s">
        <v>322</v>
      </c>
      <c r="C2" s="1"/>
      <c r="D2" s="1"/>
      <c r="E2" s="1"/>
      <c r="F2" s="1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358"/>
      <c r="FK2" s="358"/>
      <c r="FL2" s="1"/>
      <c r="FM2" s="1"/>
      <c r="FN2" s="1"/>
      <c r="FO2" s="1"/>
      <c r="FP2" s="1"/>
      <c r="FQ2" s="1"/>
      <c r="FR2" s="1"/>
    </row>
    <row r="3" spans="1:199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358"/>
      <c r="FK3" s="358"/>
      <c r="FL3" s="1"/>
      <c r="FM3" s="1"/>
      <c r="FN3" s="1"/>
      <c r="FO3" s="1"/>
      <c r="FP3" s="1"/>
      <c r="FQ3" s="1"/>
      <c r="FR3" s="1"/>
    </row>
    <row r="4" spans="1:199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358"/>
      <c r="FK4" s="358"/>
      <c r="FL4" s="1"/>
      <c r="FM4" s="1"/>
      <c r="FN4" s="1"/>
      <c r="FO4" s="1"/>
      <c r="FP4" s="1"/>
      <c r="FQ4" s="1"/>
      <c r="FR4" s="1"/>
    </row>
    <row r="5" spans="1:199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R5" s="3"/>
      <c r="FS5" s="1"/>
      <c r="FT5" s="3"/>
      <c r="FU5" s="360"/>
      <c r="FV5" s="360"/>
      <c r="FW5" s="360"/>
      <c r="FX5" s="360"/>
      <c r="FY5" s="3"/>
      <c r="FZ5" s="3"/>
      <c r="GA5" s="3"/>
      <c r="GB5" s="3"/>
      <c r="GC5" s="3"/>
      <c r="GD5" s="3"/>
      <c r="GE5" s="3"/>
    </row>
    <row r="6" spans="1:199" s="48" customFormat="1" ht="12.75" customHeight="1" x14ac:dyDescent="0.3">
      <c r="A6" s="60"/>
      <c r="B6" s="489"/>
      <c r="C6" s="486" t="s">
        <v>333</v>
      </c>
      <c r="D6" s="486" t="s">
        <v>334</v>
      </c>
      <c r="E6" s="485" t="s">
        <v>335</v>
      </c>
      <c r="F6" s="485"/>
      <c r="G6" s="356"/>
      <c r="H6" s="486" t="s">
        <v>336</v>
      </c>
      <c r="I6" s="485" t="s">
        <v>337</v>
      </c>
      <c r="J6" s="48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488" t="s">
        <v>2</v>
      </c>
      <c r="FM6" s="488"/>
      <c r="FN6" s="488"/>
      <c r="FO6" s="488"/>
      <c r="FP6" s="488"/>
      <c r="FQ6" s="488"/>
      <c r="FR6" s="488"/>
      <c r="FS6" s="488"/>
      <c r="FT6" s="3"/>
      <c r="FU6" s="360"/>
      <c r="FV6" s="360"/>
      <c r="FW6" s="360"/>
      <c r="FX6" s="360"/>
      <c r="FY6" s="3"/>
      <c r="FZ6" s="3"/>
      <c r="GA6" s="3"/>
      <c r="GB6" s="3"/>
      <c r="GC6" s="3"/>
      <c r="GD6" s="3"/>
      <c r="GE6" s="3"/>
    </row>
    <row r="7" spans="1:199" s="48" customFormat="1" ht="13.8" x14ac:dyDescent="0.3">
      <c r="A7" s="11"/>
      <c r="B7" s="489"/>
      <c r="C7" s="486"/>
      <c r="D7" s="486"/>
      <c r="E7" s="355" t="s">
        <v>3</v>
      </c>
      <c r="F7" s="355" t="s">
        <v>4</v>
      </c>
      <c r="G7" s="357"/>
      <c r="H7" s="487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15"/>
      <c r="FL7" s="16">
        <v>2009</v>
      </c>
      <c r="FM7" s="16">
        <v>2010</v>
      </c>
      <c r="FN7" s="16" t="s">
        <v>297</v>
      </c>
      <c r="FO7" s="16" t="s">
        <v>298</v>
      </c>
      <c r="FP7" s="16" t="s">
        <v>299</v>
      </c>
      <c r="FQ7" s="16" t="s">
        <v>300</v>
      </c>
      <c r="FR7" s="16" t="s">
        <v>301</v>
      </c>
      <c r="FS7" s="334" t="s">
        <v>302</v>
      </c>
      <c r="FT7" s="334" t="s">
        <v>303</v>
      </c>
      <c r="FU7" s="334" t="s">
        <v>304</v>
      </c>
      <c r="FV7" s="334" t="s">
        <v>305</v>
      </c>
      <c r="FW7" s="334" t="s">
        <v>306</v>
      </c>
      <c r="FX7" s="334" t="s">
        <v>307</v>
      </c>
      <c r="FY7" s="3"/>
      <c r="FZ7" s="3"/>
      <c r="GA7" s="3"/>
      <c r="GB7" s="3"/>
      <c r="GC7" s="3"/>
      <c r="GD7" s="3"/>
      <c r="GE7" s="3"/>
    </row>
    <row r="8" spans="1:199" s="48" customFormat="1" ht="13.8" x14ac:dyDescent="0.3">
      <c r="A8" s="17"/>
      <c r="B8" s="27" t="s">
        <v>91</v>
      </c>
      <c r="C8" s="362">
        <v>120.68874195679678</v>
      </c>
      <c r="D8" s="362">
        <v>111.37811231181233</v>
      </c>
      <c r="E8" s="362">
        <v>9.310629644984445</v>
      </c>
      <c r="F8" s="365">
        <v>8.359478762684143E-2</v>
      </c>
      <c r="G8" s="363"/>
      <c r="H8" s="362">
        <v>107.41765534541108</v>
      </c>
      <c r="I8" s="362">
        <v>3.960456966401253</v>
      </c>
      <c r="J8" s="365">
        <v>3.6869702226007904E-2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2">
        <v>10.975142879959932</v>
      </c>
      <c r="FH8" s="362">
        <v>11</v>
      </c>
      <c r="FI8" s="362">
        <v>11.029222742076458</v>
      </c>
      <c r="FJ8" s="362">
        <v>10.930785815718048</v>
      </c>
      <c r="FK8" s="363"/>
      <c r="FL8" s="28">
        <v>75.116166666889427</v>
      </c>
      <c r="FM8" s="28">
        <v>81.785220920833183</v>
      </c>
      <c r="FN8" s="28">
        <v>87.146009623124044</v>
      </c>
      <c r="FO8" s="28">
        <v>99.212368765932894</v>
      </c>
      <c r="FP8" s="28">
        <v>111.42253672114403</v>
      </c>
      <c r="FQ8" s="28">
        <v>114.05604215240101</v>
      </c>
      <c r="FR8" s="28">
        <v>124.03573100255171</v>
      </c>
      <c r="FS8" s="362">
        <v>104.52808116661689</v>
      </c>
      <c r="FT8" s="362">
        <v>105.57550933839856</v>
      </c>
      <c r="FU8" s="362">
        <v>109.38773336437451</v>
      </c>
      <c r="FV8" s="362">
        <v>116.89369940439815</v>
      </c>
      <c r="FW8" s="362">
        <v>121.62256131952306</v>
      </c>
      <c r="FX8" s="362">
        <f t="shared" ref="FX8:FX25" si="0">C8</f>
        <v>120.68874195679678</v>
      </c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</row>
    <row r="9" spans="1:199" s="48" customFormat="1" ht="13.8" x14ac:dyDescent="0.3">
      <c r="A9" s="17"/>
      <c r="B9" s="21" t="s">
        <v>92</v>
      </c>
      <c r="C9" s="364">
        <v>32.164650778206642</v>
      </c>
      <c r="D9" s="364">
        <v>20.313885539865542</v>
      </c>
      <c r="E9" s="364">
        <v>11.850765238341101</v>
      </c>
      <c r="F9" s="361">
        <v>0.58338249544058129</v>
      </c>
      <c r="G9" s="364"/>
      <c r="H9" s="364">
        <v>27.692227243855005</v>
      </c>
      <c r="I9" s="364">
        <v>-7.378341703989463</v>
      </c>
      <c r="J9" s="361">
        <v>-0.26644089112141534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4">
        <v>6.4923287759631902</v>
      </c>
      <c r="FH9" s="364">
        <v>3.82</v>
      </c>
      <c r="FI9" s="364">
        <v>3.5032541614439929</v>
      </c>
      <c r="FJ9" s="364">
        <v>3.6432421247994582</v>
      </c>
      <c r="FK9" s="363"/>
      <c r="FL9" s="22">
        <v>8.5794155326846351</v>
      </c>
      <c r="FM9" s="22">
        <v>11.045104561412124</v>
      </c>
      <c r="FN9" s="22">
        <v>20.479209449562319</v>
      </c>
      <c r="FO9" s="22">
        <v>37.145479294668313</v>
      </c>
      <c r="FP9" s="22">
        <v>19.286125468891914</v>
      </c>
      <c r="FQ9" s="22">
        <v>21.532385477622924</v>
      </c>
      <c r="FR9" s="22">
        <v>22.226739180069121</v>
      </c>
      <c r="FS9" s="364">
        <v>20.617281902590907</v>
      </c>
      <c r="FT9" s="364">
        <v>20.765177721012662</v>
      </c>
      <c r="FU9" s="364">
        <v>26.765107336840046</v>
      </c>
      <c r="FV9" s="364">
        <v>29.5399170178185</v>
      </c>
      <c r="FW9" s="364">
        <v>21.610002668167265</v>
      </c>
      <c r="FX9" s="364">
        <f t="shared" si="0"/>
        <v>32.164650778206642</v>
      </c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</row>
    <row r="10" spans="1:199" s="48" customFormat="1" ht="13.8" x14ac:dyDescent="0.3">
      <c r="A10" s="17"/>
      <c r="B10" s="21" t="s">
        <v>93</v>
      </c>
      <c r="C10" s="364">
        <v>88.52409117859014</v>
      </c>
      <c r="D10" s="364">
        <v>91.064226771946792</v>
      </c>
      <c r="E10" s="364">
        <v>-2.5401355933566521</v>
      </c>
      <c r="F10" s="361">
        <v>-2.7893890756003927E-2</v>
      </c>
      <c r="G10" s="364"/>
      <c r="H10" s="364">
        <v>79.725428101556076</v>
      </c>
      <c r="I10" s="364">
        <v>11.338798670390716</v>
      </c>
      <c r="J10" s="361">
        <v>0.14222311426094941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4">
        <v>4.4828141039967413</v>
      </c>
      <c r="FH10" s="364">
        <v>7.18</v>
      </c>
      <c r="FI10" s="364">
        <v>7.5259685806324654</v>
      </c>
      <c r="FJ10" s="364">
        <v>7.2875436909185893</v>
      </c>
      <c r="FK10" s="363"/>
      <c r="FL10" s="22">
        <v>66.536751134204792</v>
      </c>
      <c r="FM10" s="22">
        <v>70.740116359421066</v>
      </c>
      <c r="FN10" s="22">
        <v>66.666800173561725</v>
      </c>
      <c r="FO10" s="22">
        <v>62.066889471264588</v>
      </c>
      <c r="FP10" s="22">
        <v>92.136411252252117</v>
      </c>
      <c r="FQ10" s="22">
        <v>92.523656674778081</v>
      </c>
      <c r="FR10" s="22">
        <v>101.8089918224826</v>
      </c>
      <c r="FS10" s="364">
        <v>83.910799264025982</v>
      </c>
      <c r="FT10" s="364">
        <v>84.810331617385899</v>
      </c>
      <c r="FU10" s="364">
        <v>82.622626027534466</v>
      </c>
      <c r="FV10" s="364">
        <v>87.353782386579653</v>
      </c>
      <c r="FW10" s="364">
        <v>100.01255865135579</v>
      </c>
      <c r="FX10" s="364">
        <f t="shared" si="0"/>
        <v>88.52409117859014</v>
      </c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</row>
    <row r="11" spans="1:199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3"/>
      <c r="FL11" s="22"/>
      <c r="FM11" s="22"/>
      <c r="FN11" s="22"/>
      <c r="FO11" s="22"/>
      <c r="FP11" s="22"/>
      <c r="FQ11" s="22"/>
      <c r="FR11" s="22"/>
      <c r="FS11" s="364"/>
      <c r="FT11" s="364"/>
      <c r="FU11" s="364"/>
      <c r="FV11" s="364"/>
      <c r="FW11" s="364"/>
      <c r="FX11" s="364"/>
      <c r="FY11" s="360"/>
      <c r="FZ11" s="360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  <c r="GQ11" s="360"/>
    </row>
    <row r="12" spans="1:199" s="48" customFormat="1" ht="13.8" x14ac:dyDescent="0.3">
      <c r="A12" s="17"/>
      <c r="B12" s="27" t="s">
        <v>38</v>
      </c>
      <c r="C12" s="362">
        <v>6.0779967416607654</v>
      </c>
      <c r="D12" s="362">
        <v>1.4766737360413336</v>
      </c>
      <c r="E12" s="362">
        <v>4.6013230056194319</v>
      </c>
      <c r="F12" s="365">
        <v>3.1160051765765515</v>
      </c>
      <c r="G12" s="363"/>
      <c r="H12" s="362">
        <v>6.0771234775019414</v>
      </c>
      <c r="I12" s="362">
        <v>-4.6004497414606078</v>
      </c>
      <c r="J12" s="365">
        <v>-0.75701106921586947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2">
        <v>0.11402899280193932</v>
      </c>
      <c r="FH12" s="362">
        <v>0.11324841276273367</v>
      </c>
      <c r="FI12" s="362">
        <v>0.11479032082259118</v>
      </c>
      <c r="FJ12" s="362">
        <v>0.21054181669769539</v>
      </c>
      <c r="FK12" s="363"/>
      <c r="FL12" s="28">
        <v>1.6352554797159362</v>
      </c>
      <c r="FM12" s="28">
        <v>2.1172219795739866</v>
      </c>
      <c r="FN12" s="28">
        <v>2.4208803230041642</v>
      </c>
      <c r="FO12" s="28">
        <v>2.8478398060200112</v>
      </c>
      <c r="FP12" s="28">
        <v>11.201167430428915</v>
      </c>
      <c r="FQ12" s="28">
        <v>13.518820915368751</v>
      </c>
      <c r="FR12" s="28">
        <v>7.7012263021788181</v>
      </c>
      <c r="FS12" s="362">
        <v>10.007923756221759</v>
      </c>
      <c r="FT12" s="362">
        <v>5.033676344851381</v>
      </c>
      <c r="FU12" s="362">
        <v>1.670674796197325</v>
      </c>
      <c r="FV12" s="362">
        <v>6.1771303381828684</v>
      </c>
      <c r="FW12" s="362">
        <v>4.6952207407776472</v>
      </c>
      <c r="FX12" s="362">
        <f t="shared" si="0"/>
        <v>6.0779967416607654</v>
      </c>
      <c r="FY12" s="360"/>
      <c r="FZ12" s="360"/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  <c r="GQ12" s="360"/>
    </row>
    <row r="13" spans="1:199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3"/>
      <c r="FL13" s="22"/>
      <c r="FM13" s="22"/>
      <c r="FN13" s="22"/>
      <c r="FO13" s="22"/>
      <c r="FP13" s="22"/>
      <c r="FQ13" s="22"/>
      <c r="FR13" s="22"/>
      <c r="FS13" s="364"/>
      <c r="FT13" s="364"/>
      <c r="FU13" s="364"/>
      <c r="FV13" s="364"/>
      <c r="FW13" s="364"/>
      <c r="FX13" s="364"/>
      <c r="FY13" s="360"/>
      <c r="FZ13" s="360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  <c r="GQ13" s="360"/>
    </row>
    <row r="14" spans="1:199" s="48" customFormat="1" ht="13.8" x14ac:dyDescent="0.3">
      <c r="A14" s="17"/>
      <c r="B14" s="27" t="s">
        <v>39</v>
      </c>
      <c r="C14" s="362">
        <v>28.895289957730515</v>
      </c>
      <c r="D14" s="362">
        <v>45.602075116307248</v>
      </c>
      <c r="E14" s="362">
        <v>-16.706785158576732</v>
      </c>
      <c r="F14" s="365">
        <v>-0.36636019558246824</v>
      </c>
      <c r="G14" s="363"/>
      <c r="H14" s="362">
        <v>34.182588405335338</v>
      </c>
      <c r="I14" s="362">
        <v>11.41948671097191</v>
      </c>
      <c r="J14" s="365">
        <v>0.33407320053005457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2">
        <v>2.7508819764693424</v>
      </c>
      <c r="FH14" s="362">
        <v>2.848553096425237</v>
      </c>
      <c r="FI14" s="362">
        <v>2.5408619838235063</v>
      </c>
      <c r="FJ14" s="362">
        <v>3.8627690151547203</v>
      </c>
      <c r="FK14" s="363"/>
      <c r="FL14" s="28">
        <v>18.807884364746876</v>
      </c>
      <c r="FM14" s="28">
        <v>20.513347332803008</v>
      </c>
      <c r="FN14" s="28">
        <v>23.254169888948642</v>
      </c>
      <c r="FO14" s="28">
        <v>24.171045629434389</v>
      </c>
      <c r="FP14" s="28">
        <v>26.243544471429534</v>
      </c>
      <c r="FQ14" s="28">
        <v>31.02598320782117</v>
      </c>
      <c r="FR14" s="28">
        <v>34.382663181937737</v>
      </c>
      <c r="FS14" s="362">
        <v>45.597921095584312</v>
      </c>
      <c r="FT14" s="362">
        <v>70.79849859265218</v>
      </c>
      <c r="FU14" s="362">
        <v>61.154526817689543</v>
      </c>
      <c r="FV14" s="362">
        <v>41.99531184996416</v>
      </c>
      <c r="FW14" s="362">
        <v>51.092888349175411</v>
      </c>
      <c r="FX14" s="362">
        <f t="shared" si="0"/>
        <v>28.895289957730515</v>
      </c>
      <c r="FY14" s="360"/>
      <c r="FZ14" s="360"/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  <c r="GP14" s="360"/>
      <c r="GQ14" s="360"/>
    </row>
    <row r="15" spans="1:199" s="48" customFormat="1" ht="13.8" x14ac:dyDescent="0.3">
      <c r="A15" s="17"/>
      <c r="B15" s="21" t="s">
        <v>68</v>
      </c>
      <c r="C15" s="364">
        <v>19.889309183154861</v>
      </c>
      <c r="D15" s="364">
        <v>19.075314184623487</v>
      </c>
      <c r="E15" s="364">
        <v>0.81399499853137414</v>
      </c>
      <c r="F15" s="361">
        <v>4.2672691555850302E-2</v>
      </c>
      <c r="G15" s="364"/>
      <c r="H15" s="364">
        <v>15.306620167184537</v>
      </c>
      <c r="I15" s="364">
        <v>3.7686940174389498</v>
      </c>
      <c r="J15" s="361">
        <v>0.24621333620850894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4">
        <v>1.8146749778185884</v>
      </c>
      <c r="FH15" s="364">
        <v>1.5580837976356174</v>
      </c>
      <c r="FI15" s="364">
        <v>1.6253383008842042</v>
      </c>
      <c r="FJ15" s="364">
        <v>2.8554894475825785</v>
      </c>
      <c r="FK15" s="363"/>
      <c r="FL15" s="22">
        <v>12.576280174808645</v>
      </c>
      <c r="FM15" s="22">
        <v>13.005434386271492</v>
      </c>
      <c r="FN15" s="22">
        <v>12.803304879838464</v>
      </c>
      <c r="FO15" s="22">
        <v>13.628044825673767</v>
      </c>
      <c r="FP15" s="22">
        <v>14.574053928576259</v>
      </c>
      <c r="FQ15" s="22">
        <v>15.204535736617583</v>
      </c>
      <c r="FR15" s="22">
        <v>15.24959231592533</v>
      </c>
      <c r="FS15" s="364">
        <v>17.239198829102804</v>
      </c>
      <c r="FT15" s="364">
        <v>18.746536868930253</v>
      </c>
      <c r="FU15" s="364">
        <v>19.561075618899537</v>
      </c>
      <c r="FV15" s="364">
        <v>19.737499562839815</v>
      </c>
      <c r="FW15" s="364">
        <v>21.894258768729916</v>
      </c>
      <c r="FX15" s="364">
        <f t="shared" si="0"/>
        <v>19.889309183154861</v>
      </c>
      <c r="FY15" s="360"/>
      <c r="FZ15" s="360"/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  <c r="GQ15" s="360"/>
    </row>
    <row r="16" spans="1:199" s="48" customFormat="1" ht="13.8" x14ac:dyDescent="0.3">
      <c r="A16" s="17"/>
      <c r="B16" s="21" t="s">
        <v>69</v>
      </c>
      <c r="C16" s="364">
        <v>4.9582281289281243</v>
      </c>
      <c r="D16" s="364">
        <v>9.9253335229352988</v>
      </c>
      <c r="E16" s="364">
        <v>-4.9671053940071745</v>
      </c>
      <c r="F16" s="361">
        <v>-0.50044720235640128</v>
      </c>
      <c r="G16" s="364"/>
      <c r="H16" s="364">
        <v>13.042270004942306</v>
      </c>
      <c r="I16" s="364">
        <v>-3.1169364820070076</v>
      </c>
      <c r="J16" s="361">
        <v>-0.23898726838394385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4">
        <v>0.39368269844046883</v>
      </c>
      <c r="FH16" s="364">
        <v>0.48757381666343652</v>
      </c>
      <c r="FI16" s="364">
        <v>0.57323972530748957</v>
      </c>
      <c r="FJ16" s="364">
        <v>0.3590454296070632</v>
      </c>
      <c r="FK16" s="363"/>
      <c r="FL16" s="22">
        <v>3.6433226229763953</v>
      </c>
      <c r="FM16" s="22">
        <v>3.9820146248850121</v>
      </c>
      <c r="FN16" s="22">
        <v>7.1084904938697679</v>
      </c>
      <c r="FO16" s="22">
        <v>6.8455127593152314</v>
      </c>
      <c r="FP16" s="22">
        <v>6.6731351327885342</v>
      </c>
      <c r="FQ16" s="22">
        <v>11.234497696967185</v>
      </c>
      <c r="FR16" s="22">
        <v>13.75281231539083</v>
      </c>
      <c r="FS16" s="364">
        <v>19.046082695953334</v>
      </c>
      <c r="FT16" s="364">
        <v>16.61436993883574</v>
      </c>
      <c r="FU16" s="364">
        <v>14.421551451062721</v>
      </c>
      <c r="FV16" s="364">
        <v>14.410186928333259</v>
      </c>
      <c r="FW16" s="364">
        <v>10.541775063248835</v>
      </c>
      <c r="FX16" s="364">
        <f t="shared" si="0"/>
        <v>4.9582281289281243</v>
      </c>
      <c r="FY16" s="360"/>
      <c r="FZ16" s="360"/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  <c r="GQ16" s="360"/>
    </row>
    <row r="17" spans="1:199" s="48" customFormat="1" ht="13.8" x14ac:dyDescent="0.3">
      <c r="A17" s="17"/>
      <c r="B17" s="21" t="s">
        <v>70</v>
      </c>
      <c r="C17" s="364">
        <v>2.315284802868256</v>
      </c>
      <c r="D17" s="364">
        <v>5.2321795966804165</v>
      </c>
      <c r="E17" s="364">
        <v>-2.9168947938121605</v>
      </c>
      <c r="F17" s="361">
        <v>-0.55749133605100243</v>
      </c>
      <c r="G17" s="364"/>
      <c r="H17" s="364">
        <v>3.8266194801831288</v>
      </c>
      <c r="I17" s="364">
        <v>1.4055601164972877</v>
      </c>
      <c r="J17" s="361">
        <v>0.36731117995302276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4">
        <v>0.2963956427171815</v>
      </c>
      <c r="FH17" s="364">
        <v>0.58556755774414637</v>
      </c>
      <c r="FI17" s="364">
        <v>0.17632159779594825</v>
      </c>
      <c r="FJ17" s="364">
        <v>0.3130276501368085</v>
      </c>
      <c r="FK17" s="363"/>
      <c r="FL17" s="22">
        <v>1.5032844032963881</v>
      </c>
      <c r="FM17" s="22">
        <v>1.7514809838980689</v>
      </c>
      <c r="FN17" s="22">
        <v>2.1629256503063936</v>
      </c>
      <c r="FO17" s="22">
        <v>2.6102583370605905</v>
      </c>
      <c r="FP17" s="22">
        <v>2.7945466963290229</v>
      </c>
      <c r="FQ17" s="22">
        <v>2.630330467339836</v>
      </c>
      <c r="FR17" s="22">
        <v>2.8656879635902266</v>
      </c>
      <c r="FS17" s="364">
        <v>6.8974840825733601</v>
      </c>
      <c r="FT17" s="364">
        <v>2.7042350818743475</v>
      </c>
      <c r="FU17" s="364">
        <v>3.3566865715329581</v>
      </c>
      <c r="FV17" s="364">
        <v>5.0332701448942805</v>
      </c>
      <c r="FW17" s="364">
        <v>6.918111871859872</v>
      </c>
      <c r="FX17" s="364">
        <f t="shared" si="0"/>
        <v>2.315284802868256</v>
      </c>
      <c r="FY17" s="360"/>
      <c r="FZ17" s="360"/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  <c r="GQ17" s="360"/>
    </row>
    <row r="18" spans="1:199" s="48" customFormat="1" ht="13.8" x14ac:dyDescent="0.3">
      <c r="A18" s="17"/>
      <c r="B18" s="21" t="s">
        <v>88</v>
      </c>
      <c r="C18" s="364">
        <v>1.732467842779275</v>
      </c>
      <c r="D18" s="364">
        <v>11.36924781206805</v>
      </c>
      <c r="E18" s="364">
        <v>-9.6367799692887743</v>
      </c>
      <c r="F18" s="361">
        <v>-0.84761807716599136</v>
      </c>
      <c r="G18" s="364"/>
      <c r="H18" s="364">
        <v>2.0070787530253655</v>
      </c>
      <c r="I18" s="364">
        <v>9.3621690590426851</v>
      </c>
      <c r="J18" s="361">
        <v>4.6645748428807989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4">
        <v>0.24612865749310367</v>
      </c>
      <c r="FH18" s="364">
        <v>0.2173279243820363</v>
      </c>
      <c r="FI18" s="364">
        <v>0.16596235983586399</v>
      </c>
      <c r="FJ18" s="364">
        <v>0.33520648782826995</v>
      </c>
      <c r="FK18" s="363"/>
      <c r="FL18" s="22">
        <v>1.0849971636654472</v>
      </c>
      <c r="FM18" s="22">
        <v>1.7744173377484334</v>
      </c>
      <c r="FN18" s="22">
        <v>1.1794488649340167</v>
      </c>
      <c r="FO18" s="22">
        <v>1.0872297073848007</v>
      </c>
      <c r="FP18" s="22">
        <v>2.2018087137357178</v>
      </c>
      <c r="FQ18" s="22">
        <v>1.9566193068965667</v>
      </c>
      <c r="FR18" s="22">
        <v>2.5145705870313506</v>
      </c>
      <c r="FS18" s="364">
        <v>2.4151554879548187</v>
      </c>
      <c r="FT18" s="364">
        <v>32.733356703011843</v>
      </c>
      <c r="FU18" s="364">
        <v>23.81521317619433</v>
      </c>
      <c r="FV18" s="364">
        <v>2.8143552138968042</v>
      </c>
      <c r="FW18" s="364">
        <v>11.738742645336792</v>
      </c>
      <c r="FX18" s="364">
        <f t="shared" si="0"/>
        <v>1.732467842779275</v>
      </c>
      <c r="FY18" s="360"/>
      <c r="FZ18" s="360"/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  <c r="GQ18" s="360"/>
    </row>
    <row r="19" spans="1:199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3"/>
      <c r="FL19" s="22"/>
      <c r="FM19" s="22"/>
      <c r="FN19" s="22"/>
      <c r="FO19" s="22"/>
      <c r="FP19" s="22"/>
      <c r="FQ19" s="22"/>
      <c r="FR19" s="22"/>
      <c r="FS19" s="364"/>
      <c r="FT19" s="364"/>
      <c r="FU19" s="364"/>
      <c r="FV19" s="364"/>
      <c r="FW19" s="364"/>
      <c r="FX19" s="364"/>
      <c r="FY19" s="360"/>
      <c r="FZ19" s="360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  <c r="GQ19" s="360"/>
    </row>
    <row r="20" spans="1:199" s="48" customFormat="1" ht="13.8" x14ac:dyDescent="0.3">
      <c r="A20" s="17"/>
      <c r="B20" s="27" t="s">
        <v>72</v>
      </c>
      <c r="C20" s="362">
        <v>4.2780582318173437</v>
      </c>
      <c r="D20" s="362">
        <v>0</v>
      </c>
      <c r="E20" s="362">
        <v>4.2780582318173437</v>
      </c>
      <c r="F20" s="365">
        <v>0</v>
      </c>
      <c r="G20" s="363"/>
      <c r="H20" s="362">
        <v>0</v>
      </c>
      <c r="I20" s="362">
        <v>0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2">
        <v>0</v>
      </c>
      <c r="FH20" s="362">
        <v>0</v>
      </c>
      <c r="FI20" s="362">
        <v>2.2291090209345987</v>
      </c>
      <c r="FJ20" s="362">
        <v>0</v>
      </c>
      <c r="FK20" s="363"/>
      <c r="FL20" s="28">
        <v>0</v>
      </c>
      <c r="FM20" s="28">
        <v>0</v>
      </c>
      <c r="FN20" s="28">
        <v>0</v>
      </c>
      <c r="FO20" s="28">
        <v>0</v>
      </c>
      <c r="FP20" s="28">
        <v>0</v>
      </c>
      <c r="FQ20" s="28">
        <v>0</v>
      </c>
      <c r="FR20" s="28">
        <v>0</v>
      </c>
      <c r="FS20" s="362">
        <v>0</v>
      </c>
      <c r="FT20" s="362">
        <v>0</v>
      </c>
      <c r="FU20" s="362">
        <v>0</v>
      </c>
      <c r="FV20" s="362">
        <v>0</v>
      </c>
      <c r="FW20" s="362">
        <v>1.7752731182500678</v>
      </c>
      <c r="FX20" s="362">
        <f t="shared" si="0"/>
        <v>4.2780582318173437</v>
      </c>
      <c r="FY20" s="360"/>
      <c r="FZ20" s="360"/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  <c r="GP20" s="360"/>
      <c r="GQ20" s="360"/>
    </row>
    <row r="21" spans="1:199" s="48" customFormat="1" ht="13.8" x14ac:dyDescent="0.3">
      <c r="A21" s="17"/>
      <c r="B21" s="21" t="s">
        <v>73</v>
      </c>
      <c r="C21" s="364">
        <v>4.2780582318173437</v>
      </c>
      <c r="D21" s="364">
        <v>0</v>
      </c>
      <c r="E21" s="364">
        <v>4.2780582318173437</v>
      </c>
      <c r="F21" s="361">
        <v>0</v>
      </c>
      <c r="G21" s="364"/>
      <c r="H21" s="364">
        <v>0</v>
      </c>
      <c r="I21" s="364">
        <v>0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4">
        <v>0</v>
      </c>
      <c r="FH21" s="364">
        <v>0</v>
      </c>
      <c r="FI21" s="364">
        <v>2.2291090209345987</v>
      </c>
      <c r="FJ21" s="364">
        <v>0</v>
      </c>
      <c r="FK21" s="363"/>
      <c r="FL21" s="22">
        <v>0</v>
      </c>
      <c r="FM21" s="22">
        <v>0</v>
      </c>
      <c r="FN21" s="22">
        <v>0</v>
      </c>
      <c r="FO21" s="22">
        <v>0</v>
      </c>
      <c r="FP21" s="22">
        <v>0</v>
      </c>
      <c r="FQ21" s="22">
        <v>0</v>
      </c>
      <c r="FR21" s="22">
        <v>0</v>
      </c>
      <c r="FS21" s="364">
        <v>0</v>
      </c>
      <c r="FT21" s="364">
        <v>0</v>
      </c>
      <c r="FU21" s="364">
        <v>0</v>
      </c>
      <c r="FV21" s="364">
        <v>0</v>
      </c>
      <c r="FW21" s="364">
        <v>1.7752731182500678</v>
      </c>
      <c r="FX21" s="364">
        <f t="shared" si="0"/>
        <v>4.2780582318173437</v>
      </c>
      <c r="FY21" s="360"/>
      <c r="FZ21" s="360"/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  <c r="GP21" s="360"/>
      <c r="GQ21" s="360"/>
    </row>
    <row r="22" spans="1:199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3"/>
      <c r="FL22" s="22"/>
      <c r="FM22" s="22"/>
      <c r="FN22" s="22"/>
      <c r="FO22" s="22"/>
      <c r="FP22" s="22"/>
      <c r="FQ22" s="22"/>
      <c r="FR22" s="22"/>
      <c r="FS22" s="364"/>
      <c r="FT22" s="364"/>
      <c r="FU22" s="364"/>
      <c r="FV22" s="364"/>
      <c r="FW22" s="364"/>
      <c r="FX22" s="364"/>
      <c r="FY22" s="360"/>
      <c r="FZ22" s="360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  <c r="GP22" s="360"/>
      <c r="GQ22" s="360"/>
    </row>
    <row r="23" spans="1:199" s="48" customFormat="1" ht="13.8" x14ac:dyDescent="0.3">
      <c r="A23" s="17"/>
      <c r="B23" s="27" t="s">
        <v>74</v>
      </c>
      <c r="C23" s="362">
        <v>10.28454761625542</v>
      </c>
      <c r="D23" s="362">
        <v>14.406764479061447</v>
      </c>
      <c r="E23" s="362">
        <v>-4.1222168628060274</v>
      </c>
      <c r="F23" s="365">
        <v>-0.28613064847399905</v>
      </c>
      <c r="G23" s="363"/>
      <c r="H23" s="362">
        <v>35.524427819297046</v>
      </c>
      <c r="I23" s="362">
        <v>-21.117663340235598</v>
      </c>
      <c r="J23" s="365">
        <v>-0.59445470726946881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2">
        <v>1.3556472901705059</v>
      </c>
      <c r="FH23" s="362">
        <v>0.560367108828556</v>
      </c>
      <c r="FI23" s="362">
        <v>1.8044776245220224</v>
      </c>
      <c r="FJ23" s="362">
        <v>0.37332010803644472</v>
      </c>
      <c r="FK23" s="363"/>
      <c r="FL23" s="28">
        <v>42.980301596960757</v>
      </c>
      <c r="FM23" s="28">
        <v>41.148325470888125</v>
      </c>
      <c r="FN23" s="28">
        <v>36.430646717104295</v>
      </c>
      <c r="FO23" s="28">
        <v>33.509705734350398</v>
      </c>
      <c r="FP23" s="28">
        <v>29.563152615897337</v>
      </c>
      <c r="FQ23" s="28">
        <v>36.575170037635473</v>
      </c>
      <c r="FR23" s="28">
        <v>35.189431408702212</v>
      </c>
      <c r="FS23" s="362">
        <v>37.395967566835722</v>
      </c>
      <c r="FT23" s="362">
        <v>24.091830722059935</v>
      </c>
      <c r="FU23" s="362">
        <v>37.915000996345384</v>
      </c>
      <c r="FV23" s="362">
        <v>43.812856137466319</v>
      </c>
      <c r="FW23" s="362">
        <v>15.437684887735657</v>
      </c>
      <c r="FX23" s="362">
        <f t="shared" si="0"/>
        <v>10.28454761625542</v>
      </c>
      <c r="FY23" s="360"/>
      <c r="FZ23" s="360"/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  <c r="GQ23" s="360"/>
    </row>
    <row r="24" spans="1:199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3"/>
      <c r="FL24" s="22"/>
      <c r="FM24" s="22"/>
      <c r="FN24" s="22"/>
      <c r="FO24" s="22"/>
      <c r="FP24" s="22"/>
      <c r="FQ24" s="22"/>
      <c r="FR24" s="22"/>
      <c r="FS24" s="364"/>
      <c r="FT24" s="364"/>
      <c r="FU24" s="364"/>
      <c r="FV24" s="364"/>
      <c r="FW24" s="364"/>
      <c r="FX24" s="364"/>
      <c r="FY24" s="360"/>
      <c r="FZ24" s="360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  <c r="GQ24" s="360"/>
    </row>
    <row r="25" spans="1:199" s="48" customFormat="1" ht="13.8" x14ac:dyDescent="0.3">
      <c r="A25" s="17"/>
      <c r="B25" s="27" t="s">
        <v>94</v>
      </c>
      <c r="C25" s="367">
        <v>1507.4545454545455</v>
      </c>
      <c r="D25" s="367">
        <v>1310.2727272727273</v>
      </c>
      <c r="E25" s="367">
        <v>197.18181818181824</v>
      </c>
      <c r="F25" s="365">
        <v>0.15048914174703398</v>
      </c>
      <c r="G25" s="363"/>
      <c r="H25" s="367">
        <v>1279.909090909091</v>
      </c>
      <c r="I25" s="367">
        <v>30.36363636363626</v>
      </c>
      <c r="J25" s="365">
        <v>2.3723275800838044E-2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7">
        <v>1528</v>
      </c>
      <c r="FH25" s="367">
        <v>1539</v>
      </c>
      <c r="FI25" s="367">
        <v>1552</v>
      </c>
      <c r="FJ25" s="367">
        <v>1569</v>
      </c>
      <c r="FK25" s="363"/>
      <c r="FL25" s="49">
        <v>860.41666666666663</v>
      </c>
      <c r="FM25" s="49">
        <v>869.58333333333337</v>
      </c>
      <c r="FN25" s="49">
        <v>858.33333333333337</v>
      </c>
      <c r="FO25" s="49">
        <v>861.91666666666663</v>
      </c>
      <c r="FP25" s="49">
        <v>905.58333333333337</v>
      </c>
      <c r="FQ25" s="49">
        <v>955.58333333333337</v>
      </c>
      <c r="FR25" s="49">
        <v>1032.5</v>
      </c>
      <c r="FS25" s="367">
        <v>1096.75</v>
      </c>
      <c r="FT25" s="367">
        <v>1119.75</v>
      </c>
      <c r="FU25" s="367">
        <v>1212.5833333333333</v>
      </c>
      <c r="FV25" s="367">
        <v>1281.4166666666667</v>
      </c>
      <c r="FW25" s="367">
        <v>1318.25</v>
      </c>
      <c r="FX25" s="367">
        <f t="shared" si="0"/>
        <v>1507.4545454545455</v>
      </c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</row>
    <row r="26" spans="1:199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363"/>
      <c r="FK26" s="363"/>
      <c r="FL26" s="22"/>
      <c r="FM26" s="22"/>
      <c r="FN26" s="22"/>
      <c r="FO26" s="22"/>
      <c r="FP26" s="22"/>
      <c r="FQ26" s="22"/>
      <c r="FR26" s="3"/>
      <c r="FS26" s="3"/>
      <c r="FT26" s="360"/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</row>
    <row r="27" spans="1:199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L27" s="65"/>
      <c r="FM27" s="65"/>
      <c r="FN27" s="65"/>
      <c r="FO27" s="65"/>
      <c r="FP27" s="65"/>
      <c r="FQ27" s="65"/>
      <c r="FS27" s="3"/>
      <c r="FT27" s="360"/>
      <c r="FU27" s="360"/>
      <c r="FV27" s="360"/>
      <c r="FW27" s="360"/>
      <c r="FX27" s="360"/>
      <c r="FY27" s="3"/>
      <c r="FZ27" s="3"/>
      <c r="GA27" s="3"/>
      <c r="GB27" s="3"/>
      <c r="GC27" s="3"/>
      <c r="GD27" s="360"/>
      <c r="GE27" s="360"/>
      <c r="GH27" s="360" t="b">
        <v>1</v>
      </c>
    </row>
    <row r="28" spans="1:199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L28" s="65"/>
      <c r="FM28" s="65"/>
      <c r="FN28" s="65"/>
      <c r="FO28" s="65"/>
      <c r="FP28" s="65"/>
      <c r="FQ28" s="65"/>
      <c r="FS28" s="3"/>
      <c r="FT28" s="360"/>
      <c r="FU28" s="360"/>
      <c r="FV28" s="360"/>
      <c r="FW28" s="360"/>
      <c r="FX28" s="360"/>
      <c r="FY28" s="3"/>
      <c r="FZ28" s="3"/>
      <c r="GA28" s="3"/>
      <c r="GB28" s="3"/>
      <c r="GC28" s="3"/>
      <c r="GD28" s="360"/>
      <c r="GE28" s="360"/>
      <c r="GH28" s="360" t="b">
        <v>1</v>
      </c>
    </row>
    <row r="29" spans="1:199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L29" s="65"/>
      <c r="FM29" s="65"/>
      <c r="FN29" s="65"/>
      <c r="FO29" s="65"/>
      <c r="FP29" s="65"/>
      <c r="FQ29" s="65"/>
      <c r="FS29" s="3"/>
      <c r="FT29" s="360"/>
      <c r="FU29" s="360"/>
      <c r="FV29" s="360"/>
      <c r="FW29" s="360"/>
      <c r="FX29" s="360"/>
      <c r="FY29" s="3"/>
      <c r="FZ29" s="3"/>
      <c r="GA29" s="3"/>
      <c r="GB29" s="3"/>
      <c r="GC29" s="3"/>
      <c r="GD29" s="360"/>
      <c r="GE29" s="360"/>
      <c r="GH29" s="360" t="b">
        <v>1</v>
      </c>
    </row>
    <row r="30" spans="1:199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L30" s="65"/>
      <c r="FM30" s="65"/>
      <c r="FN30" s="65"/>
      <c r="FO30" s="65"/>
      <c r="FP30" s="65"/>
      <c r="FQ30" s="65"/>
      <c r="FS30" s="3"/>
      <c r="FT30" s="360"/>
      <c r="FU30" s="360"/>
      <c r="FV30" s="360"/>
      <c r="FW30" s="360"/>
      <c r="FX30" s="360"/>
      <c r="FY30" s="3"/>
      <c r="FZ30" s="3"/>
      <c r="GA30" s="3"/>
      <c r="GB30" s="3"/>
      <c r="GC30" s="3"/>
      <c r="GD30" s="360"/>
      <c r="GE30" s="360"/>
      <c r="GH30" s="360" t="b">
        <v>1</v>
      </c>
    </row>
    <row r="31" spans="1:199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L31" s="65"/>
      <c r="FM31" s="65"/>
      <c r="FN31" s="65"/>
      <c r="FO31" s="65"/>
      <c r="FP31" s="65"/>
      <c r="FQ31" s="65"/>
      <c r="FS31" s="3"/>
      <c r="FT31" s="360"/>
      <c r="FU31" s="360"/>
      <c r="FV31" s="360"/>
      <c r="FW31" s="360"/>
      <c r="FX31" s="360"/>
      <c r="FY31" s="3"/>
      <c r="FZ31" s="3"/>
      <c r="GA31" s="3"/>
      <c r="GB31" s="3"/>
      <c r="GC31" s="3"/>
      <c r="GD31" s="360"/>
      <c r="GE31" s="360"/>
      <c r="GH31" s="360" t="b">
        <v>1</v>
      </c>
    </row>
    <row r="32" spans="1:199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L32" s="65"/>
      <c r="FM32" s="65"/>
      <c r="FN32" s="65"/>
      <c r="FO32" s="65"/>
      <c r="FP32" s="65"/>
      <c r="FQ32" s="65"/>
      <c r="FS32" s="3"/>
      <c r="FT32" s="360"/>
      <c r="FU32" s="360"/>
      <c r="FV32" s="360"/>
      <c r="FW32" s="360"/>
      <c r="FX32" s="360"/>
      <c r="FY32" s="3"/>
      <c r="FZ32" s="3"/>
      <c r="GA32" s="3"/>
      <c r="GB32" s="3"/>
      <c r="GC32" s="3"/>
      <c r="GD32" s="360"/>
      <c r="GE32" s="360"/>
      <c r="GH32" s="360" t="b">
        <v>1</v>
      </c>
    </row>
    <row r="33" spans="1:190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L33" s="65"/>
      <c r="FM33" s="65"/>
      <c r="FN33" s="65"/>
      <c r="FO33" s="65"/>
      <c r="FP33" s="65"/>
      <c r="FQ33" s="65"/>
      <c r="FS33" s="3"/>
      <c r="FT33" s="360"/>
      <c r="FU33" s="360"/>
      <c r="FV33" s="360"/>
      <c r="FW33" s="360"/>
      <c r="FX33" s="360"/>
      <c r="FY33" s="3"/>
      <c r="FZ33" s="3"/>
      <c r="GA33" s="3"/>
      <c r="GB33" s="3"/>
      <c r="GC33" s="3"/>
      <c r="GD33" s="360"/>
      <c r="GE33" s="360"/>
      <c r="GH33" s="360" t="b">
        <v>1</v>
      </c>
    </row>
    <row r="34" spans="1:190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L34" s="65"/>
      <c r="FM34" s="65"/>
      <c r="FN34" s="65"/>
      <c r="FO34" s="65"/>
      <c r="FP34" s="65"/>
      <c r="FQ34" s="65"/>
      <c r="FS34" s="3"/>
      <c r="FT34" s="360"/>
      <c r="FU34" s="360"/>
      <c r="FV34" s="360"/>
      <c r="FW34" s="360"/>
      <c r="FX34" s="360"/>
      <c r="FY34" s="3"/>
      <c r="FZ34" s="3"/>
      <c r="GA34" s="3"/>
      <c r="GB34" s="3"/>
      <c r="GC34" s="3"/>
      <c r="GD34" s="360"/>
      <c r="GE34" s="360"/>
      <c r="GH34" s="360" t="b">
        <v>1</v>
      </c>
    </row>
    <row r="35" spans="1:190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L35" s="65"/>
      <c r="FM35" s="65"/>
      <c r="FN35" s="65"/>
      <c r="FO35" s="65"/>
      <c r="FP35" s="65"/>
      <c r="FQ35" s="65"/>
      <c r="FS35" s="3"/>
      <c r="FT35" s="360"/>
      <c r="FU35" s="360"/>
      <c r="FV35" s="360"/>
      <c r="FW35" s="360"/>
      <c r="FX35" s="360"/>
      <c r="FY35" s="3"/>
      <c r="FZ35" s="3"/>
      <c r="GA35" s="3"/>
      <c r="GB35" s="3"/>
      <c r="GC35" s="3"/>
      <c r="GD35" s="360"/>
      <c r="GE35" s="360"/>
      <c r="GH35" s="360" t="b">
        <v>1</v>
      </c>
    </row>
    <row r="36" spans="1:190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L36" s="65"/>
      <c r="FM36" s="65"/>
      <c r="FN36" s="65"/>
      <c r="FO36" s="65"/>
      <c r="FP36" s="65"/>
      <c r="FQ36" s="65"/>
      <c r="FS36" s="3"/>
      <c r="FT36" s="360"/>
      <c r="FU36" s="360"/>
      <c r="FV36" s="360"/>
      <c r="FW36" s="360"/>
      <c r="FX36" s="360"/>
      <c r="FY36" s="3"/>
      <c r="FZ36" s="3"/>
      <c r="GA36" s="3"/>
      <c r="GB36" s="3"/>
      <c r="GC36" s="3"/>
      <c r="GD36" s="360"/>
      <c r="GE36" s="360"/>
      <c r="GH36" s="360" t="b">
        <v>1</v>
      </c>
    </row>
    <row r="37" spans="1:190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L37" s="65"/>
      <c r="FM37" s="65"/>
      <c r="FN37" s="65"/>
      <c r="FO37" s="65"/>
      <c r="FP37" s="65"/>
      <c r="FQ37" s="65"/>
      <c r="FS37" s="3"/>
      <c r="FT37" s="360"/>
      <c r="FU37" s="360"/>
      <c r="FV37" s="360"/>
      <c r="FW37" s="360"/>
      <c r="FX37" s="360"/>
      <c r="FY37" s="3"/>
      <c r="FZ37" s="3"/>
      <c r="GA37" s="3"/>
      <c r="GB37" s="3"/>
      <c r="GC37" s="3"/>
      <c r="GD37" s="360"/>
      <c r="GE37" s="360"/>
      <c r="GH37" s="360" t="b">
        <v>1</v>
      </c>
    </row>
    <row r="38" spans="1:190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L38" s="65"/>
      <c r="FM38" s="65"/>
      <c r="FN38" s="65"/>
      <c r="FO38" s="65"/>
      <c r="FP38" s="65"/>
      <c r="FQ38" s="65"/>
      <c r="FS38" s="3"/>
      <c r="FT38" s="360"/>
      <c r="FU38" s="360"/>
      <c r="FV38" s="360"/>
      <c r="FW38" s="360"/>
      <c r="FX38" s="360"/>
      <c r="FY38" s="3"/>
      <c r="FZ38" s="3"/>
      <c r="GA38" s="3"/>
      <c r="GB38" s="3"/>
      <c r="GC38" s="3"/>
      <c r="GD38" s="360"/>
      <c r="GE38" s="360"/>
      <c r="GH38" s="360" t="b">
        <v>1</v>
      </c>
    </row>
    <row r="39" spans="1:190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L39" s="65"/>
      <c r="FM39" s="65"/>
      <c r="FN39" s="65"/>
      <c r="FO39" s="65"/>
      <c r="FP39" s="65"/>
      <c r="FQ39" s="65"/>
      <c r="FS39" s="3"/>
      <c r="FT39" s="360"/>
      <c r="FU39" s="360"/>
      <c r="FV39" s="360"/>
      <c r="FW39" s="360"/>
      <c r="FX39" s="360"/>
      <c r="FY39" s="3"/>
      <c r="FZ39" s="3"/>
      <c r="GA39" s="3"/>
      <c r="GB39" s="3"/>
      <c r="GC39" s="3"/>
      <c r="GD39" s="360"/>
      <c r="GE39" s="360"/>
      <c r="GH39" s="360" t="b">
        <v>1</v>
      </c>
    </row>
    <row r="40" spans="1:190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L40" s="65"/>
      <c r="FM40" s="65"/>
      <c r="FN40" s="65"/>
      <c r="FO40" s="65"/>
      <c r="FP40" s="65"/>
      <c r="FQ40" s="65"/>
      <c r="FS40" s="3"/>
      <c r="FT40" s="360"/>
      <c r="FU40" s="360"/>
      <c r="FV40" s="360"/>
      <c r="FW40" s="360"/>
      <c r="FX40" s="360"/>
      <c r="FY40" s="3"/>
      <c r="FZ40" s="3"/>
      <c r="GA40" s="3"/>
      <c r="GB40" s="3"/>
      <c r="GC40" s="3"/>
      <c r="GD40" s="360"/>
      <c r="GE40" s="360"/>
      <c r="GH40" s="360" t="b">
        <v>1</v>
      </c>
    </row>
    <row r="41" spans="1:190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L41" s="65"/>
      <c r="FM41" s="65"/>
      <c r="FN41" s="65"/>
      <c r="FO41" s="65"/>
      <c r="FP41" s="65"/>
      <c r="FQ41" s="65"/>
      <c r="FR41" s="66"/>
      <c r="FS41" s="3"/>
      <c r="FT41" s="360"/>
      <c r="FU41" s="360"/>
      <c r="FV41" s="360"/>
      <c r="FW41" s="360"/>
      <c r="FX41" s="360"/>
      <c r="FY41" s="1"/>
      <c r="FZ41" s="1"/>
      <c r="GA41" s="1"/>
      <c r="GB41" s="1"/>
      <c r="GC41" s="1"/>
      <c r="GD41" s="360"/>
      <c r="GE41" s="360"/>
      <c r="GH41" s="360" t="b">
        <v>1</v>
      </c>
    </row>
    <row r="42" spans="1:190" s="48" customFormat="1" ht="13.8" hidden="1" x14ac:dyDescent="0.3">
      <c r="A42" s="11"/>
      <c r="B42" s="61"/>
      <c r="FS42" s="3"/>
      <c r="FT42" s="360"/>
      <c r="FU42" s="360"/>
      <c r="FV42" s="360"/>
      <c r="FW42" s="360"/>
      <c r="FX42" s="360"/>
      <c r="FY42" s="1"/>
      <c r="FZ42" s="1"/>
      <c r="GA42" s="1"/>
      <c r="GB42" s="1"/>
      <c r="GC42" s="1"/>
      <c r="GD42" s="360"/>
      <c r="GE42" s="360"/>
      <c r="GH42" s="360" t="b">
        <v>1</v>
      </c>
    </row>
    <row r="43" spans="1:190" ht="13.8" hidden="1" x14ac:dyDescent="0.3">
      <c r="FS43" s="3"/>
      <c r="FT43" s="360"/>
      <c r="FU43" s="360"/>
      <c r="FV43" s="360"/>
      <c r="FW43" s="360"/>
      <c r="FX43" s="360"/>
      <c r="GD43" s="360"/>
      <c r="GE43" s="360"/>
      <c r="GH43" s="360" t="b">
        <v>1</v>
      </c>
    </row>
    <row r="44" spans="1:190" ht="12.75" customHeight="1" x14ac:dyDescent="0.3">
      <c r="FS44" s="3"/>
    </row>
    <row r="45" spans="1:190" ht="12.75" customHeight="1" x14ac:dyDescent="0.3">
      <c r="FS45" s="3"/>
    </row>
    <row r="46" spans="1:190" ht="12.75" hidden="1" customHeight="1" x14ac:dyDescent="0.3">
      <c r="FS46" s="3"/>
    </row>
    <row r="47" spans="1:190" ht="12.75" hidden="1" customHeight="1" x14ac:dyDescent="0.3">
      <c r="FS47" s="3"/>
    </row>
    <row r="48" spans="1:190" ht="12.75" hidden="1" customHeight="1" x14ac:dyDescent="0.3">
      <c r="FS48" s="3"/>
    </row>
    <row r="49" spans="175:175" ht="12.75" hidden="1" customHeight="1" x14ac:dyDescent="0.3">
      <c r="FS49" s="3"/>
    </row>
    <row r="50" spans="175:175" ht="12.75" hidden="1" customHeight="1" x14ac:dyDescent="0.3">
      <c r="FS50" s="3"/>
    </row>
    <row r="51" spans="175:175" ht="12.75" hidden="1" customHeight="1" x14ac:dyDescent="0.3">
      <c r="FS51" s="3"/>
    </row>
    <row r="52" spans="175:175" ht="12.75" hidden="1" customHeight="1" x14ac:dyDescent="0.3">
      <c r="FS52" s="3"/>
    </row>
    <row r="53" spans="175:175" ht="12.75" hidden="1" customHeight="1" x14ac:dyDescent="0.3">
      <c r="FS53" s="3"/>
    </row>
    <row r="54" spans="175:175" ht="12.75" hidden="1" customHeight="1" x14ac:dyDescent="0.3">
      <c r="FS54" s="3"/>
    </row>
    <row r="55" spans="175:175" ht="12.75" hidden="1" customHeight="1" x14ac:dyDescent="0.3">
      <c r="FS55" s="3"/>
    </row>
    <row r="56" spans="175:175" ht="12.75" hidden="1" customHeight="1" x14ac:dyDescent="0.3">
      <c r="FS56" s="3"/>
    </row>
    <row r="57" spans="175:175" ht="12.75" hidden="1" customHeight="1" x14ac:dyDescent="0.3">
      <c r="FS57" s="3"/>
    </row>
    <row r="58" spans="175:175" ht="12.75" hidden="1" customHeight="1" x14ac:dyDescent="0.3">
      <c r="FS58" s="3"/>
    </row>
    <row r="59" spans="175:175" ht="12.75" hidden="1" customHeight="1" x14ac:dyDescent="0.3">
      <c r="FS59" s="3"/>
    </row>
    <row r="60" spans="175:175" ht="12.75" hidden="1" customHeight="1" x14ac:dyDescent="0.3">
      <c r="FS60" s="3"/>
    </row>
    <row r="61" spans="175:175" ht="12.75" hidden="1" customHeight="1" x14ac:dyDescent="0.3">
      <c r="FS61" s="3"/>
    </row>
    <row r="62" spans="175:175" ht="12.75" hidden="1" customHeight="1" x14ac:dyDescent="0.3">
      <c r="FS62" s="3"/>
    </row>
    <row r="63" spans="175:175" ht="12.75" hidden="1" customHeight="1" x14ac:dyDescent="0.3">
      <c r="FS63" s="3"/>
    </row>
    <row r="64" spans="175:175" ht="12.75" hidden="1" customHeight="1" x14ac:dyDescent="0.3">
      <c r="FS64" s="3"/>
    </row>
    <row r="65" spans="175:175" ht="12.75" hidden="1" customHeight="1" x14ac:dyDescent="0.3">
      <c r="FS65" s="3"/>
    </row>
    <row r="66" spans="175:175" ht="12.75" hidden="1" customHeight="1" x14ac:dyDescent="0.3">
      <c r="FS66" s="3"/>
    </row>
    <row r="67" spans="175:175" ht="12.75" hidden="1" customHeight="1" x14ac:dyDescent="0.3">
      <c r="FS67" s="3"/>
    </row>
    <row r="68" spans="175:175" ht="12.75" hidden="1" customHeight="1" x14ac:dyDescent="0.3">
      <c r="FS68" s="3"/>
    </row>
    <row r="69" spans="175:175" ht="12.75" hidden="1" customHeight="1" x14ac:dyDescent="0.3">
      <c r="FS69" s="3"/>
    </row>
    <row r="70" spans="175:175" ht="12.75" hidden="1" customHeight="1" x14ac:dyDescent="0.3">
      <c r="FS70" s="3"/>
    </row>
    <row r="71" spans="175:175" ht="12.75" hidden="1" customHeight="1" x14ac:dyDescent="0.3">
      <c r="FS71" s="3"/>
    </row>
    <row r="72" spans="175:175" ht="12.75" hidden="1" customHeight="1" x14ac:dyDescent="0.3">
      <c r="FS72" s="3"/>
    </row>
    <row r="73" spans="175:175" ht="12.75" hidden="1" customHeight="1" x14ac:dyDescent="0.3">
      <c r="FS73" s="3"/>
    </row>
    <row r="74" spans="175:175" ht="12.75" hidden="1" customHeight="1" x14ac:dyDescent="0.3">
      <c r="FS74" s="3"/>
    </row>
    <row r="75" spans="175:175" ht="12.75" hidden="1" customHeight="1" x14ac:dyDescent="0.3">
      <c r="FS75" s="3"/>
    </row>
    <row r="76" spans="175:175" ht="12.75" hidden="1" customHeight="1" x14ac:dyDescent="0.3">
      <c r="FS76" s="3"/>
    </row>
    <row r="77" spans="175:175" ht="12.75" hidden="1" customHeight="1" x14ac:dyDescent="0.3">
      <c r="FS77" s="3"/>
    </row>
    <row r="78" spans="175:175" ht="12.75" hidden="1" customHeight="1" x14ac:dyDescent="0.3">
      <c r="FS78" s="3"/>
    </row>
    <row r="79" spans="175:175" ht="12.75" hidden="1" customHeight="1" x14ac:dyDescent="0.3">
      <c r="FS79" s="3"/>
    </row>
    <row r="80" spans="175:175" ht="12.75" hidden="1" customHeight="1" x14ac:dyDescent="0.3">
      <c r="FS80" s="3"/>
    </row>
    <row r="81" spans="175:175" ht="12.75" hidden="1" customHeight="1" x14ac:dyDescent="0.3">
      <c r="FS81" s="3"/>
    </row>
    <row r="82" spans="175:175" ht="12.75" hidden="1" customHeight="1" x14ac:dyDescent="0.3">
      <c r="FS82" s="3"/>
    </row>
    <row r="83" spans="175:175" ht="12.75" hidden="1" customHeight="1" x14ac:dyDescent="0.3">
      <c r="FS83" s="3"/>
    </row>
    <row r="84" spans="175:175" ht="12.75" hidden="1" customHeight="1" x14ac:dyDescent="0.3">
      <c r="FS84" s="3"/>
    </row>
    <row r="85" spans="175:175" ht="12.75" hidden="1" customHeight="1" x14ac:dyDescent="0.3">
      <c r="FS85" s="3"/>
    </row>
    <row r="86" spans="175:175" ht="12.75" hidden="1" customHeight="1" x14ac:dyDescent="0.3">
      <c r="FS86" s="3"/>
    </row>
    <row r="87" spans="175:175" ht="12.75" hidden="1" customHeight="1" x14ac:dyDescent="0.3">
      <c r="FS87" s="3"/>
    </row>
    <row r="88" spans="175:175" ht="12.75" hidden="1" customHeight="1" x14ac:dyDescent="0.3">
      <c r="FS88" s="3"/>
    </row>
    <row r="89" spans="175:175" ht="12.75" hidden="1" customHeight="1" x14ac:dyDescent="0.3">
      <c r="FS89" s="3"/>
    </row>
    <row r="90" spans="175:175" ht="12.75" hidden="1" customHeight="1" x14ac:dyDescent="0.3">
      <c r="FS90" s="3"/>
    </row>
    <row r="91" spans="175:175" ht="12.75" hidden="1" customHeight="1" x14ac:dyDescent="0.3">
      <c r="FS91" s="3"/>
    </row>
    <row r="92" spans="175:175" ht="12.75" hidden="1" customHeight="1" x14ac:dyDescent="0.3">
      <c r="FS92" s="3"/>
    </row>
    <row r="93" spans="175:175" ht="12.75" hidden="1" customHeight="1" x14ac:dyDescent="0.3">
      <c r="FS93" s="3"/>
    </row>
    <row r="94" spans="175:175" ht="12.75" hidden="1" customHeight="1" x14ac:dyDescent="0.3">
      <c r="FS94" s="3"/>
    </row>
    <row r="95" spans="175:175" ht="12.75" hidden="1" customHeight="1" x14ac:dyDescent="0.3">
      <c r="FS95" s="3"/>
    </row>
    <row r="96" spans="175:175" ht="12.75" hidden="1" customHeight="1" x14ac:dyDescent="0.3">
      <c r="FS96" s="3"/>
    </row>
    <row r="97" spans="175:175" ht="12.75" hidden="1" customHeight="1" x14ac:dyDescent="0.3">
      <c r="FS97" s="3"/>
    </row>
    <row r="98" spans="175:175" ht="12.75" hidden="1" customHeight="1" x14ac:dyDescent="0.3">
      <c r="FS98" s="3"/>
    </row>
    <row r="99" spans="175:175" ht="12.75" hidden="1" customHeight="1" x14ac:dyDescent="0.3">
      <c r="FS99" s="3"/>
    </row>
    <row r="100" spans="175:175" ht="12.75" hidden="1" customHeight="1" x14ac:dyDescent="0.3">
      <c r="FS100" s="3"/>
    </row>
    <row r="101" spans="175:175" ht="12.75" hidden="1" customHeight="1" x14ac:dyDescent="0.3">
      <c r="FS101" s="3"/>
    </row>
    <row r="102" spans="175:175" ht="12.75" hidden="1" customHeight="1" x14ac:dyDescent="0.3">
      <c r="FS102" s="3"/>
    </row>
    <row r="103" spans="175:175" ht="12.75" hidden="1" customHeight="1" x14ac:dyDescent="0.3">
      <c r="FS103" s="3"/>
    </row>
    <row r="104" spans="175:175" ht="12.75" hidden="1" customHeight="1" x14ac:dyDescent="0.3">
      <c r="FS104" s="3"/>
    </row>
    <row r="105" spans="175:175" ht="12.75" hidden="1" customHeight="1" x14ac:dyDescent="0.3">
      <c r="FS105" s="3"/>
    </row>
    <row r="106" spans="175:175" ht="12.75" hidden="1" customHeight="1" x14ac:dyDescent="0.3">
      <c r="FS106" s="3"/>
    </row>
    <row r="107" spans="175:175" ht="12.75" hidden="1" customHeight="1" x14ac:dyDescent="0.3">
      <c r="FS107" s="3"/>
    </row>
    <row r="108" spans="175:175" ht="12.75" hidden="1" customHeight="1" x14ac:dyDescent="0.3">
      <c r="FS108" s="3"/>
    </row>
    <row r="109" spans="175:175" ht="12.75" hidden="1" customHeight="1" x14ac:dyDescent="0.3">
      <c r="FS109" s="3"/>
    </row>
    <row r="110" spans="175:175" ht="12.75" hidden="1" customHeight="1" x14ac:dyDescent="0.3">
      <c r="FS110" s="3"/>
    </row>
    <row r="111" spans="175:175" ht="12.75" hidden="1" customHeight="1" x14ac:dyDescent="0.3">
      <c r="FS111" s="3"/>
    </row>
    <row r="112" spans="175:175" ht="12.75" hidden="1" customHeight="1" x14ac:dyDescent="0.3">
      <c r="FS112" s="3"/>
    </row>
    <row r="113" spans="175:175" ht="12.75" hidden="1" customHeight="1" x14ac:dyDescent="0.3">
      <c r="FS113" s="3"/>
    </row>
    <row r="114" spans="175:175" ht="12.75" hidden="1" customHeight="1" x14ac:dyDescent="0.3">
      <c r="FS114" s="3"/>
    </row>
    <row r="115" spans="175:175" ht="12.75" hidden="1" customHeight="1" x14ac:dyDescent="0.3">
      <c r="FS115" s="3"/>
    </row>
    <row r="116" spans="175:175" ht="12.75" hidden="1" customHeight="1" x14ac:dyDescent="0.3">
      <c r="FS116" s="3"/>
    </row>
    <row r="117" spans="175:175" ht="12.75" hidden="1" customHeight="1" x14ac:dyDescent="0.3">
      <c r="FS117" s="3"/>
    </row>
    <row r="118" spans="175:175" ht="12.75" hidden="1" customHeight="1" x14ac:dyDescent="0.3">
      <c r="FS118" s="3"/>
    </row>
    <row r="119" spans="175:175" ht="12.75" hidden="1" customHeight="1" x14ac:dyDescent="0.3">
      <c r="FS119" s="3"/>
    </row>
    <row r="120" spans="175:175" ht="12.75" hidden="1" customHeight="1" x14ac:dyDescent="0.3">
      <c r="FS120" s="3"/>
    </row>
    <row r="121" spans="175:175" ht="12.75" hidden="1" customHeight="1" x14ac:dyDescent="0.3">
      <c r="FS121" s="3"/>
    </row>
    <row r="122" spans="175:175" ht="12.75" hidden="1" customHeight="1" x14ac:dyDescent="0.3">
      <c r="FS122" s="3"/>
    </row>
    <row r="123" spans="175:175" ht="12.75" hidden="1" customHeight="1" x14ac:dyDescent="0.3">
      <c r="FS123" s="3"/>
    </row>
    <row r="124" spans="175:175" ht="12.75" hidden="1" customHeight="1" x14ac:dyDescent="0.3">
      <c r="FS124" s="3"/>
    </row>
    <row r="125" spans="175:175" ht="12.75" hidden="1" customHeight="1" x14ac:dyDescent="0.3">
      <c r="FS125" s="3"/>
    </row>
    <row r="126" spans="175:175" ht="12.75" hidden="1" customHeight="1" x14ac:dyDescent="0.3">
      <c r="FS126" s="3"/>
    </row>
    <row r="127" spans="175:175" ht="12.75" hidden="1" customHeight="1" x14ac:dyDescent="0.3">
      <c r="FS127" s="3"/>
    </row>
    <row r="128" spans="175:175" ht="12.75" hidden="1" customHeight="1" x14ac:dyDescent="0.3">
      <c r="FS128" s="3"/>
    </row>
    <row r="129" spans="175:175" ht="12.75" hidden="1" customHeight="1" x14ac:dyDescent="0.3">
      <c r="FS129" s="3"/>
    </row>
    <row r="130" spans="175:175" ht="12.75" hidden="1" customHeight="1" x14ac:dyDescent="0.3">
      <c r="FS130" s="3"/>
    </row>
    <row r="131" spans="175:175" ht="12.75" hidden="1" customHeight="1" x14ac:dyDescent="0.3">
      <c r="FS131" s="3"/>
    </row>
    <row r="132" spans="175:175" ht="12.75" hidden="1" customHeight="1" x14ac:dyDescent="0.3">
      <c r="FS132" s="3"/>
    </row>
    <row r="133" spans="175:175" ht="12.75" hidden="1" customHeight="1" x14ac:dyDescent="0.3">
      <c r="FS133" s="3"/>
    </row>
    <row r="134" spans="175:175" ht="12.75" hidden="1" customHeight="1" x14ac:dyDescent="0.3">
      <c r="FS134" s="3"/>
    </row>
    <row r="135" spans="175:175" ht="12.75" hidden="1" customHeight="1" x14ac:dyDescent="0.3">
      <c r="FS135" s="3"/>
    </row>
    <row r="136" spans="175:175" ht="12.75" hidden="1" customHeight="1" x14ac:dyDescent="0.3">
      <c r="FS136" s="3"/>
    </row>
    <row r="137" spans="175:175" ht="12.75" hidden="1" customHeight="1" x14ac:dyDescent="0.3">
      <c r="FS137" s="3"/>
    </row>
    <row r="138" spans="175:175" ht="12.75" hidden="1" customHeight="1" x14ac:dyDescent="0.3">
      <c r="FS138" s="3"/>
    </row>
    <row r="139" spans="175:175" ht="12.75" hidden="1" customHeight="1" x14ac:dyDescent="0.3">
      <c r="FS139" s="3"/>
    </row>
    <row r="140" spans="175:175" ht="12.75" hidden="1" customHeight="1" x14ac:dyDescent="0.3">
      <c r="FS140" s="3"/>
    </row>
    <row r="141" spans="175:175" ht="12.75" hidden="1" customHeight="1" x14ac:dyDescent="0.3">
      <c r="FS141" s="3"/>
    </row>
    <row r="142" spans="175:175" ht="12.75" hidden="1" customHeight="1" x14ac:dyDescent="0.3">
      <c r="FS142" s="3"/>
    </row>
    <row r="143" spans="175:175" ht="12.75" hidden="1" customHeight="1" x14ac:dyDescent="0.3">
      <c r="FS143" s="3"/>
    </row>
    <row r="144" spans="175:175" ht="12.75" hidden="1" customHeight="1" x14ac:dyDescent="0.3">
      <c r="FS144" s="3"/>
    </row>
    <row r="145" spans="175:175" ht="12.75" hidden="1" customHeight="1" x14ac:dyDescent="0.3">
      <c r="FS145" s="3"/>
    </row>
    <row r="146" spans="175:175" ht="12.75" hidden="1" customHeight="1" x14ac:dyDescent="0.3">
      <c r="FS146" s="3"/>
    </row>
    <row r="147" spans="175:175" ht="12.75" hidden="1" customHeight="1" x14ac:dyDescent="0.3">
      <c r="FS147" s="3"/>
    </row>
    <row r="148" spans="175:175" ht="12.75" hidden="1" customHeight="1" x14ac:dyDescent="0.3">
      <c r="FS148" s="3"/>
    </row>
    <row r="149" spans="175:175" ht="12.75" hidden="1" customHeight="1" x14ac:dyDescent="0.3">
      <c r="FS149" s="3"/>
    </row>
    <row r="150" spans="175:175" ht="12.75" hidden="1" customHeight="1" x14ac:dyDescent="0.3">
      <c r="FS150" s="3"/>
    </row>
    <row r="151" spans="175:175" ht="12.75" hidden="1" customHeight="1" x14ac:dyDescent="0.3">
      <c r="FS151" s="3"/>
    </row>
    <row r="152" spans="175:175" ht="12.75" hidden="1" customHeight="1" x14ac:dyDescent="0.3">
      <c r="FS152" s="3"/>
    </row>
    <row r="153" spans="175:175" ht="12.75" hidden="1" customHeight="1" x14ac:dyDescent="0.3">
      <c r="FS153" s="3"/>
    </row>
    <row r="154" spans="175:175" ht="12.75" hidden="1" customHeight="1" x14ac:dyDescent="0.3">
      <c r="FS154" s="3"/>
    </row>
    <row r="155" spans="175:175" ht="12.75" hidden="1" customHeight="1" x14ac:dyDescent="0.3">
      <c r="FS155" s="3"/>
    </row>
    <row r="156" spans="175:175" ht="12.75" hidden="1" customHeight="1" x14ac:dyDescent="0.3">
      <c r="FS156" s="3"/>
    </row>
    <row r="157" spans="175:175" ht="12.75" hidden="1" customHeight="1" x14ac:dyDescent="0.3">
      <c r="FS157" s="3"/>
    </row>
    <row r="158" spans="175:175" ht="12.75" hidden="1" customHeight="1" x14ac:dyDescent="0.3">
      <c r="FS158" s="3"/>
    </row>
    <row r="159" spans="175:175" ht="12.75" hidden="1" customHeight="1" x14ac:dyDescent="0.3">
      <c r="FS159" s="3"/>
    </row>
    <row r="160" spans="175:175" ht="12.75" hidden="1" customHeight="1" x14ac:dyDescent="0.3">
      <c r="FS160" s="3"/>
    </row>
    <row r="161" spans="175:175" ht="12.75" hidden="1" customHeight="1" x14ac:dyDescent="0.3">
      <c r="FS161" s="3"/>
    </row>
    <row r="162" spans="175:175" ht="12.75" hidden="1" customHeight="1" x14ac:dyDescent="0.3">
      <c r="FS162" s="3"/>
    </row>
    <row r="163" spans="175:175" ht="12.75" hidden="1" customHeight="1" x14ac:dyDescent="0.3">
      <c r="FS163" s="3"/>
    </row>
    <row r="164" spans="175:175" ht="12.75" hidden="1" customHeight="1" x14ac:dyDescent="0.3">
      <c r="FS164" s="3"/>
    </row>
    <row r="165" spans="175:175" ht="12.75" hidden="1" customHeight="1" x14ac:dyDescent="0.3">
      <c r="FS165" s="3"/>
    </row>
    <row r="166" spans="175:175" ht="12.75" hidden="1" customHeight="1" x14ac:dyDescent="0.3">
      <c r="FS166" s="3"/>
    </row>
    <row r="167" spans="175:175" ht="12.75" hidden="1" customHeight="1" x14ac:dyDescent="0.3">
      <c r="FS167" s="3"/>
    </row>
    <row r="168" spans="175:175" ht="12.75" hidden="1" customHeight="1" x14ac:dyDescent="0.3">
      <c r="FS168" s="3"/>
    </row>
    <row r="169" spans="175:175" ht="12.75" hidden="1" customHeight="1" x14ac:dyDescent="0.3">
      <c r="FS169" s="3"/>
    </row>
    <row r="170" spans="175:175" ht="12.75" hidden="1" customHeight="1" x14ac:dyDescent="0.3">
      <c r="FS170" s="3"/>
    </row>
    <row r="171" spans="175:175" ht="12.75" hidden="1" customHeight="1" x14ac:dyDescent="0.3">
      <c r="FS171" s="3"/>
    </row>
    <row r="172" spans="175:175" ht="12.75" hidden="1" customHeight="1" x14ac:dyDescent="0.3">
      <c r="FS172" s="3"/>
    </row>
    <row r="173" spans="175:175" ht="12.75" hidden="1" customHeight="1" x14ac:dyDescent="0.3">
      <c r="FS173" s="3"/>
    </row>
    <row r="174" spans="175:175" ht="12.75" hidden="1" customHeight="1" x14ac:dyDescent="0.3">
      <c r="FS174" s="3"/>
    </row>
    <row r="175" spans="175:175" ht="12.75" hidden="1" customHeight="1" x14ac:dyDescent="0.3">
      <c r="FS175" s="3"/>
    </row>
    <row r="176" spans="175:175" ht="12.75" hidden="1" customHeight="1" x14ac:dyDescent="0.3">
      <c r="FS176" s="3"/>
    </row>
    <row r="177" spans="175:175" ht="12.75" hidden="1" customHeight="1" x14ac:dyDescent="0.3">
      <c r="FS177" s="3"/>
    </row>
    <row r="178" spans="175:175" ht="12.75" hidden="1" customHeight="1" x14ac:dyDescent="0.3">
      <c r="FS178" s="3"/>
    </row>
    <row r="179" spans="175:175" ht="12.75" hidden="1" customHeight="1" x14ac:dyDescent="0.3">
      <c r="FS179" s="3"/>
    </row>
    <row r="180" spans="175:175" ht="12.75" hidden="1" customHeight="1" x14ac:dyDescent="0.3">
      <c r="FS180" s="3"/>
    </row>
    <row r="181" spans="175:175" ht="12.75" hidden="1" customHeight="1" x14ac:dyDescent="0.3">
      <c r="FS181" s="3"/>
    </row>
    <row r="182" spans="175:175" ht="12.75" hidden="1" customHeight="1" x14ac:dyDescent="0.3">
      <c r="FS182" s="3"/>
    </row>
    <row r="183" spans="175:175" ht="12.75" hidden="1" customHeight="1" x14ac:dyDescent="0.3">
      <c r="FS183" s="3"/>
    </row>
    <row r="184" spans="175:175" ht="12.75" hidden="1" customHeight="1" x14ac:dyDescent="0.3">
      <c r="FS184" s="3"/>
    </row>
    <row r="185" spans="175:175" ht="12.75" hidden="1" customHeight="1" x14ac:dyDescent="0.3">
      <c r="FS185" s="3"/>
    </row>
    <row r="186" spans="175:175" ht="12.75" hidden="1" customHeight="1" x14ac:dyDescent="0.3">
      <c r="FS186" s="3"/>
    </row>
    <row r="187" spans="175:175" ht="12.75" hidden="1" customHeight="1" x14ac:dyDescent="0.3">
      <c r="FS187" s="3"/>
    </row>
    <row r="188" spans="175:175" ht="12.75" hidden="1" customHeight="1" x14ac:dyDescent="0.3">
      <c r="FS188" s="3"/>
    </row>
    <row r="189" spans="175:175" ht="12.75" hidden="1" customHeight="1" x14ac:dyDescent="0.3">
      <c r="FS189" s="3"/>
    </row>
    <row r="190" spans="175:175" ht="12.75" hidden="1" customHeight="1" x14ac:dyDescent="0.3">
      <c r="FS190" s="3"/>
    </row>
    <row r="191" spans="175:175" ht="12.75" hidden="1" customHeight="1" x14ac:dyDescent="0.3">
      <c r="FS191" s="3"/>
    </row>
    <row r="192" spans="175:175" ht="12.75" hidden="1" customHeight="1" x14ac:dyDescent="0.3">
      <c r="FS192" s="3"/>
    </row>
    <row r="193" spans="175:175" ht="12.75" hidden="1" customHeight="1" x14ac:dyDescent="0.3">
      <c r="FS193" s="3"/>
    </row>
    <row r="194" spans="175:175" ht="12.75" hidden="1" customHeight="1" x14ac:dyDescent="0.3">
      <c r="FS194" s="3"/>
    </row>
    <row r="195" spans="175:175" ht="12.75" hidden="1" customHeight="1" x14ac:dyDescent="0.3">
      <c r="FS195" s="3"/>
    </row>
    <row r="196" spans="175:175" ht="12.75" hidden="1" customHeight="1" x14ac:dyDescent="0.3">
      <c r="FS196" s="3"/>
    </row>
    <row r="197" spans="175:175" ht="12.75" hidden="1" customHeight="1" x14ac:dyDescent="0.3">
      <c r="FS197" s="3"/>
    </row>
    <row r="198" spans="175:175" ht="12.75" hidden="1" customHeight="1" x14ac:dyDescent="0.3">
      <c r="FS198" s="3"/>
    </row>
    <row r="199" spans="175:175" ht="12.75" hidden="1" customHeight="1" x14ac:dyDescent="0.3">
      <c r="FS199" s="3"/>
    </row>
    <row r="200" spans="175:175" ht="12.75" hidden="1" customHeight="1" x14ac:dyDescent="0.3">
      <c r="FS200" s="3"/>
    </row>
    <row r="201" spans="175:175" ht="12.75" hidden="1" customHeight="1" x14ac:dyDescent="0.3">
      <c r="FS201" s="3"/>
    </row>
    <row r="202" spans="175:175" ht="12.75" hidden="1" customHeight="1" x14ac:dyDescent="0.3">
      <c r="FS202" s="3"/>
    </row>
    <row r="203" spans="175:175" ht="12.75" hidden="1" customHeight="1" x14ac:dyDescent="0.3">
      <c r="FS203" s="3"/>
    </row>
    <row r="204" spans="175:175" ht="12.75" hidden="1" customHeight="1" x14ac:dyDescent="0.3">
      <c r="FS204" s="3"/>
    </row>
    <row r="205" spans="175:175" ht="12.75" hidden="1" customHeight="1" x14ac:dyDescent="0.3">
      <c r="FS205" s="3"/>
    </row>
    <row r="206" spans="175:175" ht="12.75" hidden="1" customHeight="1" x14ac:dyDescent="0.3">
      <c r="FS206" s="3"/>
    </row>
    <row r="207" spans="175:175" ht="12.75" hidden="1" customHeight="1" x14ac:dyDescent="0.3">
      <c r="FS207" s="3"/>
    </row>
    <row r="208" spans="175:175" ht="12.75" hidden="1" customHeight="1" x14ac:dyDescent="0.3">
      <c r="FS208" s="3"/>
    </row>
    <row r="209" spans="175:175" ht="12.75" hidden="1" customHeight="1" x14ac:dyDescent="0.3">
      <c r="FS209" s="3"/>
    </row>
    <row r="210" spans="175:175" ht="12.75" hidden="1" customHeight="1" x14ac:dyDescent="0.3">
      <c r="FS210" s="3"/>
    </row>
    <row r="211" spans="175:175" ht="12.75" hidden="1" customHeight="1" x14ac:dyDescent="0.3">
      <c r="FS211" s="3"/>
    </row>
    <row r="212" spans="175:175" ht="12.75" hidden="1" customHeight="1" x14ac:dyDescent="0.3"/>
    <row r="213" spans="175:175" ht="12.75" hidden="1" customHeight="1" x14ac:dyDescent="0.3"/>
    <row r="214" spans="175:175" ht="12.75" hidden="1" customHeight="1" x14ac:dyDescent="0.3"/>
    <row r="215" spans="175:175" ht="12.75" hidden="1" customHeight="1" x14ac:dyDescent="0.3"/>
    <row r="216" spans="175:175" ht="12.75" hidden="1" customHeight="1" x14ac:dyDescent="0.3"/>
  </sheetData>
  <mergeCells count="7">
    <mergeCell ref="FL6:FS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M461" sqref="M461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72" t="s">
        <v>322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324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491" t="s">
        <v>370</v>
      </c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</row>
    <row r="10" spans="1:15" s="69" customFormat="1" ht="14.4" x14ac:dyDescent="0.3">
      <c r="A10" s="67"/>
      <c r="B10" s="491" t="s">
        <v>371</v>
      </c>
      <c r="C10" s="491"/>
      <c r="D10" s="491"/>
      <c r="E10" s="491"/>
      <c r="F10" s="491"/>
      <c r="G10" s="491"/>
      <c r="H10" s="491"/>
      <c r="I10" s="491"/>
      <c r="J10" s="491"/>
      <c r="K10" s="491"/>
      <c r="L10" s="491"/>
      <c r="M10" s="491"/>
      <c r="N10" s="491"/>
      <c r="O10" s="491"/>
    </row>
    <row r="11" spans="1:15" s="69" customFormat="1" ht="14.4" x14ac:dyDescent="0.3">
      <c r="A11" s="67"/>
      <c r="B11" s="492" t="s">
        <v>95</v>
      </c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2"/>
      <c r="O11" s="492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493" t="s">
        <v>96</v>
      </c>
      <c r="C13" s="495" t="s">
        <v>372</v>
      </c>
      <c r="D13" s="496"/>
      <c r="E13" s="496"/>
      <c r="F13" s="496"/>
      <c r="G13" s="496"/>
      <c r="H13" s="496"/>
      <c r="I13" s="496"/>
      <c r="J13" s="496"/>
      <c r="K13" s="496"/>
      <c r="L13" s="496"/>
      <c r="M13" s="496"/>
      <c r="N13" s="497"/>
      <c r="O13" s="498" t="s">
        <v>373</v>
      </c>
    </row>
    <row r="14" spans="1:15" s="77" customFormat="1" ht="30" customHeight="1" x14ac:dyDescent="0.3">
      <c r="A14" s="67"/>
      <c r="B14" s="494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499"/>
    </row>
    <row r="15" spans="1:15" s="77" customFormat="1" ht="14.4" x14ac:dyDescent="0.3">
      <c r="A15" s="67"/>
      <c r="B15" s="80" t="s">
        <v>97</v>
      </c>
      <c r="C15" s="81">
        <v>101.87811698052161</v>
      </c>
      <c r="D15" s="81">
        <v>107.67739055682915</v>
      </c>
      <c r="E15" s="81">
        <v>119.19111668216551</v>
      </c>
      <c r="F15" s="81">
        <v>114.85440321156116</v>
      </c>
      <c r="G15" s="81">
        <v>121.64543674555911</v>
      </c>
      <c r="H15" s="81">
        <v>126.27969712491553</v>
      </c>
      <c r="I15" s="81">
        <v>134.19102339644772</v>
      </c>
      <c r="J15" s="81">
        <v>133.87205090638233</v>
      </c>
      <c r="K15" s="81">
        <v>138.44706591061927</v>
      </c>
      <c r="L15" s="81">
        <v>145.27705106461889</v>
      </c>
      <c r="M15" s="81">
        <v>144.20855902543659</v>
      </c>
      <c r="N15" s="81">
        <v>0</v>
      </c>
      <c r="O15" s="81">
        <v>1387.5219116050569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v>97.215260587078802</v>
      </c>
      <c r="D17" s="85">
        <v>105.52467536646468</v>
      </c>
      <c r="E17" s="85">
        <v>116.83262692066108</v>
      </c>
      <c r="F17" s="85">
        <v>112.58861232388097</v>
      </c>
      <c r="G17" s="85">
        <v>118.41284297629547</v>
      </c>
      <c r="H17" s="85">
        <v>124.18137148312508</v>
      </c>
      <c r="I17" s="85">
        <v>132.06978345555893</v>
      </c>
      <c r="J17" s="85">
        <v>131.51302167956288</v>
      </c>
      <c r="K17" s="85">
        <v>136.07541083248191</v>
      </c>
      <c r="L17" s="85">
        <v>142.39218713968688</v>
      </c>
      <c r="M17" s="85">
        <v>139.51989875480052</v>
      </c>
      <c r="N17" s="85">
        <v>0</v>
      </c>
      <c r="O17" s="85">
        <v>1356.3256915195971</v>
      </c>
    </row>
    <row r="18" spans="1:15" s="77" customFormat="1" ht="14.4" x14ac:dyDescent="0.3">
      <c r="A18" s="67"/>
      <c r="B18" s="86" t="s">
        <v>99</v>
      </c>
      <c r="C18" s="87">
        <v>12.248713710135233</v>
      </c>
      <c r="D18" s="87">
        <v>12.575827997583344</v>
      </c>
      <c r="E18" s="87">
        <v>13.687084538517503</v>
      </c>
      <c r="F18" s="87">
        <v>13.277167792947026</v>
      </c>
      <c r="G18" s="87">
        <v>13.440647889584696</v>
      </c>
      <c r="H18" s="87">
        <v>13.949784237945028</v>
      </c>
      <c r="I18" s="87">
        <v>11.821441254047516</v>
      </c>
      <c r="J18" s="87">
        <v>12.931785598066238</v>
      </c>
      <c r="K18" s="87">
        <v>13.52762841804824</v>
      </c>
      <c r="L18" s="87">
        <v>14.133790254821362</v>
      </c>
      <c r="M18" s="87">
        <v>13.619526746072038</v>
      </c>
      <c r="N18" s="87">
        <v>0</v>
      </c>
      <c r="O18" s="88">
        <v>145.21339843776821</v>
      </c>
    </row>
    <row r="19" spans="1:15" s="77" customFormat="1" ht="14.4" x14ac:dyDescent="0.3">
      <c r="A19" s="67"/>
      <c r="B19" s="86" t="s">
        <v>100</v>
      </c>
      <c r="C19" s="87">
        <v>-3.5177210088069078E-5</v>
      </c>
      <c r="D19" s="87">
        <v>10.025898346035914</v>
      </c>
      <c r="E19" s="87">
        <v>10.644258330635397</v>
      </c>
      <c r="F19" s="87">
        <v>10.788507264893635</v>
      </c>
      <c r="G19" s="87">
        <v>11.022846310348353</v>
      </c>
      <c r="H19" s="87">
        <v>12.479085657618775</v>
      </c>
      <c r="I19" s="87">
        <v>11.033044732461912</v>
      </c>
      <c r="J19" s="87">
        <v>9.9064146725740265</v>
      </c>
      <c r="K19" s="87">
        <v>6.6329551040363279</v>
      </c>
      <c r="L19" s="87">
        <v>9.293427596122001</v>
      </c>
      <c r="M19" s="87">
        <v>7.9706565354291676</v>
      </c>
      <c r="N19" s="87">
        <v>0</v>
      </c>
      <c r="O19" s="88">
        <v>99.797059372945427</v>
      </c>
    </row>
    <row r="20" spans="1:15" s="77" customFormat="1" ht="14.4" x14ac:dyDescent="0.3">
      <c r="A20" s="67"/>
      <c r="B20" s="86" t="s">
        <v>101</v>
      </c>
      <c r="C20" s="87">
        <v>2.6689894329105694</v>
      </c>
      <c r="D20" s="87">
        <v>2.8879370137425848</v>
      </c>
      <c r="E20" s="87">
        <v>2.8791871976160897</v>
      </c>
      <c r="F20" s="87">
        <v>2.8429262389113195</v>
      </c>
      <c r="G20" s="87">
        <v>2.8187487881234863</v>
      </c>
      <c r="H20" s="87">
        <v>2.9161261909680043</v>
      </c>
      <c r="I20" s="87">
        <v>7.3219578450090577</v>
      </c>
      <c r="J20" s="87">
        <v>7.0349587273852521</v>
      </c>
      <c r="K20" s="87">
        <v>8.9079929981148389</v>
      </c>
      <c r="L20" s="87">
        <v>6.9492303554334205</v>
      </c>
      <c r="M20" s="87">
        <v>10.80824863085668</v>
      </c>
      <c r="N20" s="87">
        <v>0</v>
      </c>
      <c r="O20" s="88">
        <v>58.036303419071309</v>
      </c>
    </row>
    <row r="21" spans="1:15" s="77" customFormat="1" ht="14.4" x14ac:dyDescent="0.3">
      <c r="A21" s="67"/>
      <c r="B21" s="86" t="s">
        <v>102</v>
      </c>
      <c r="C21" s="87">
        <v>2.8272061459700053</v>
      </c>
      <c r="D21" s="87">
        <v>2.5548153915534093</v>
      </c>
      <c r="E21" s="87">
        <v>2.6858857619778687</v>
      </c>
      <c r="F21" s="87">
        <v>2.7750119389104424</v>
      </c>
      <c r="G21" s="87">
        <v>2.7733456110173877</v>
      </c>
      <c r="H21" s="87">
        <v>2.8709714659575893</v>
      </c>
      <c r="I21" s="87">
        <v>2.9818052949877272</v>
      </c>
      <c r="J21" s="87">
        <v>3.0914682668371212</v>
      </c>
      <c r="K21" s="87">
        <v>3.0993846096654285</v>
      </c>
      <c r="L21" s="87">
        <v>3.2583231501519117</v>
      </c>
      <c r="M21" s="87">
        <v>3.2887130727976661</v>
      </c>
      <c r="N21" s="87">
        <v>0</v>
      </c>
      <c r="O21" s="88">
        <v>32.206930709826551</v>
      </c>
    </row>
    <row r="22" spans="1:15" s="77" customFormat="1" ht="14.4" x14ac:dyDescent="0.3">
      <c r="A22" s="67"/>
      <c r="B22" s="86" t="s">
        <v>103</v>
      </c>
      <c r="C22" s="87">
        <v>28.683804861893673</v>
      </c>
      <c r="D22" s="87">
        <v>27.000853370753724</v>
      </c>
      <c r="E22" s="87">
        <v>30.018446254077453</v>
      </c>
      <c r="F22" s="87">
        <v>29.458260568861583</v>
      </c>
      <c r="G22" s="87">
        <v>31.009118251429719</v>
      </c>
      <c r="H22" s="87">
        <v>32.283490843016679</v>
      </c>
      <c r="I22" s="87">
        <v>33.798978894705279</v>
      </c>
      <c r="J22" s="87">
        <v>33.318647551842616</v>
      </c>
      <c r="K22" s="87">
        <v>35.343205486178505</v>
      </c>
      <c r="L22" s="87">
        <v>36.646058451076904</v>
      </c>
      <c r="M22" s="87">
        <v>35.044588092366858</v>
      </c>
      <c r="N22" s="87">
        <v>0</v>
      </c>
      <c r="O22" s="88">
        <v>352.60545262620298</v>
      </c>
    </row>
    <row r="23" spans="1:15" s="77" customFormat="1" ht="14.4" x14ac:dyDescent="0.3">
      <c r="A23" s="67"/>
      <c r="B23" s="86" t="s">
        <v>104</v>
      </c>
      <c r="C23" s="87">
        <v>50.786581613379411</v>
      </c>
      <c r="D23" s="87">
        <v>50.479343246795708</v>
      </c>
      <c r="E23" s="87">
        <v>56.917764837836778</v>
      </c>
      <c r="F23" s="87">
        <v>53.446738519356963</v>
      </c>
      <c r="G23" s="87">
        <v>57.348136125791825</v>
      </c>
      <c r="H23" s="87">
        <v>59.681913087619002</v>
      </c>
      <c r="I23" s="87">
        <v>65.112555434347442</v>
      </c>
      <c r="J23" s="87">
        <v>65.229746862857624</v>
      </c>
      <c r="K23" s="87">
        <v>68.564244216438567</v>
      </c>
      <c r="L23" s="87">
        <v>72.111357332081283</v>
      </c>
      <c r="M23" s="87">
        <v>68.788165677278101</v>
      </c>
      <c r="N23" s="87">
        <v>0</v>
      </c>
      <c r="O23" s="88">
        <v>668.46654695378265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v>4.6628563934428149</v>
      </c>
      <c r="D25" s="85">
        <v>2.1527151903644768</v>
      </c>
      <c r="E25" s="85">
        <v>2.3584897615044254</v>
      </c>
      <c r="F25" s="85">
        <v>2.2657908876801987</v>
      </c>
      <c r="G25" s="85">
        <v>3.2325937692636506</v>
      </c>
      <c r="H25" s="85">
        <v>2.0983256417904541</v>
      </c>
      <c r="I25" s="85">
        <v>2.1212399408887963</v>
      </c>
      <c r="J25" s="85">
        <v>2.359029226819457</v>
      </c>
      <c r="K25" s="85">
        <v>2.37165507813737</v>
      </c>
      <c r="L25" s="85">
        <v>2.8848639249320001</v>
      </c>
      <c r="M25" s="85">
        <v>4.688660270636074</v>
      </c>
      <c r="N25" s="85">
        <v>0</v>
      </c>
      <c r="O25" s="85">
        <v>31.196220085459721</v>
      </c>
    </row>
    <row r="26" spans="1:15" s="77" customFormat="1" ht="14.4" x14ac:dyDescent="0.3">
      <c r="A26" s="67"/>
      <c r="B26" s="86" t="s">
        <v>106</v>
      </c>
      <c r="C26" s="87">
        <v>1.6969418092322262</v>
      </c>
      <c r="D26" s="87">
        <v>1.8276828248715915</v>
      </c>
      <c r="E26" s="87">
        <v>2.1719232140681393</v>
      </c>
      <c r="F26" s="87">
        <v>1.9505322972511343</v>
      </c>
      <c r="G26" s="87">
        <v>1.9355010795889283</v>
      </c>
      <c r="H26" s="87">
        <v>1.8775881367087854</v>
      </c>
      <c r="I26" s="87">
        <v>1.935706970641081</v>
      </c>
      <c r="J26" s="87">
        <v>2.03644639185557</v>
      </c>
      <c r="K26" s="87">
        <v>2.0862040837576181</v>
      </c>
      <c r="L26" s="87">
        <v>2.1026872357517767</v>
      </c>
      <c r="M26" s="87">
        <v>2.1975079385983269</v>
      </c>
      <c r="N26" s="87">
        <v>0</v>
      </c>
      <c r="O26" s="88">
        <v>21.818721982325179</v>
      </c>
    </row>
    <row r="27" spans="1:15" s="77" customFormat="1" ht="14.4" x14ac:dyDescent="0.3">
      <c r="A27" s="67"/>
      <c r="B27" s="86" t="s">
        <v>107</v>
      </c>
      <c r="C27" s="87">
        <v>2.965914584210589</v>
      </c>
      <c r="D27" s="87">
        <v>0.32503236549288522</v>
      </c>
      <c r="E27" s="87">
        <v>0.18656654743628595</v>
      </c>
      <c r="F27" s="87">
        <v>0.31525859042906451</v>
      </c>
      <c r="G27" s="87">
        <v>1.2970926896747224</v>
      </c>
      <c r="H27" s="87">
        <v>0.22073750508166862</v>
      </c>
      <c r="I27" s="87">
        <v>0.18553297024771515</v>
      </c>
      <c r="J27" s="87">
        <v>0.32258283496388701</v>
      </c>
      <c r="K27" s="87">
        <v>0.28545099437975174</v>
      </c>
      <c r="L27" s="87">
        <v>0.78217668918022343</v>
      </c>
      <c r="M27" s="87">
        <v>2.4911523320377467</v>
      </c>
      <c r="N27" s="87">
        <v>0</v>
      </c>
      <c r="O27" s="88">
        <v>9.3774981031345401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v>176.22163331959979</v>
      </c>
      <c r="D29" s="96">
        <v>170.95610223493574</v>
      </c>
      <c r="E29" s="96">
        <v>162.96568894314132</v>
      </c>
      <c r="F29" s="96">
        <v>197.7050463464538</v>
      </c>
      <c r="G29" s="96">
        <v>180.27258769051389</v>
      </c>
      <c r="H29" s="96">
        <v>190.00046591265371</v>
      </c>
      <c r="I29" s="96">
        <v>200.90289929532639</v>
      </c>
      <c r="J29" s="96">
        <v>213.66911101184596</v>
      </c>
      <c r="K29" s="96">
        <v>216.02092190160522</v>
      </c>
      <c r="L29" s="96">
        <v>234.18747438750603</v>
      </c>
      <c r="M29" s="96">
        <v>222.7436696224816</v>
      </c>
      <c r="N29" s="96">
        <v>0</v>
      </c>
      <c r="O29" s="96">
        <v>2165.6456006660633</v>
      </c>
    </row>
    <row r="30" spans="1:15" s="77" customFormat="1" ht="14.4" x14ac:dyDescent="0.3">
      <c r="A30" s="67"/>
      <c r="B30" s="97" t="s">
        <v>109</v>
      </c>
      <c r="C30" s="98">
        <v>153.10787125507787</v>
      </c>
      <c r="D30" s="98">
        <v>140.02653322851037</v>
      </c>
      <c r="E30" s="98">
        <v>134.29329420345346</v>
      </c>
      <c r="F30" s="98">
        <v>168.46680328829305</v>
      </c>
      <c r="G30" s="98">
        <v>153.43359086865777</v>
      </c>
      <c r="H30" s="98">
        <v>160.41761523877364</v>
      </c>
      <c r="I30" s="98">
        <v>169.08185773402863</v>
      </c>
      <c r="J30" s="98">
        <v>183.66361395797676</v>
      </c>
      <c r="K30" s="98">
        <v>188.80156198788177</v>
      </c>
      <c r="L30" s="98">
        <v>200.46811210323344</v>
      </c>
      <c r="M30" s="98">
        <v>192.20261378586994</v>
      </c>
      <c r="N30" s="98">
        <v>0</v>
      </c>
      <c r="O30" s="98">
        <v>1843.9634676517564</v>
      </c>
    </row>
    <row r="31" spans="1:15" s="77" customFormat="1" ht="14.4" x14ac:dyDescent="0.3">
      <c r="A31" s="67"/>
      <c r="B31" s="86" t="s">
        <v>110</v>
      </c>
      <c r="C31" s="87">
        <v>45.616870569520522</v>
      </c>
      <c r="D31" s="87">
        <v>60.56619637225667</v>
      </c>
      <c r="E31" s="87">
        <v>56.886979276030495</v>
      </c>
      <c r="F31" s="87">
        <v>63.552328758943432</v>
      </c>
      <c r="G31" s="87">
        <v>47.162987671251926</v>
      </c>
      <c r="H31" s="87">
        <v>51.22475118359435</v>
      </c>
      <c r="I31" s="87">
        <v>48.934696915359631</v>
      </c>
      <c r="J31" s="87">
        <v>61.513538462811901</v>
      </c>
      <c r="K31" s="87">
        <v>78.964767722571111</v>
      </c>
      <c r="L31" s="87">
        <v>110.73138377579474</v>
      </c>
      <c r="M31" s="87">
        <v>95.48894572206288</v>
      </c>
      <c r="N31" s="87">
        <v>0</v>
      </c>
      <c r="O31" s="88">
        <v>720.64344643019763</v>
      </c>
    </row>
    <row r="32" spans="1:15" s="77" customFormat="1" ht="14.4" x14ac:dyDescent="0.3">
      <c r="A32" s="67"/>
      <c r="B32" s="86" t="s">
        <v>111</v>
      </c>
      <c r="C32" s="87">
        <v>91.976409405701759</v>
      </c>
      <c r="D32" s="87">
        <v>63.713661891337416</v>
      </c>
      <c r="E32" s="87">
        <v>61.547344656718892</v>
      </c>
      <c r="F32" s="87">
        <v>87.876696224505139</v>
      </c>
      <c r="G32" s="87">
        <v>90.379650986511734</v>
      </c>
      <c r="H32" s="87">
        <v>93.71319705107814</v>
      </c>
      <c r="I32" s="87">
        <v>102.64978800893769</v>
      </c>
      <c r="J32" s="87">
        <v>105.46864389058274</v>
      </c>
      <c r="K32" s="87">
        <v>89.097528285090931</v>
      </c>
      <c r="L32" s="87">
        <v>72.683420967203389</v>
      </c>
      <c r="M32" s="87">
        <v>78.608182979004312</v>
      </c>
      <c r="N32" s="87">
        <v>0</v>
      </c>
      <c r="O32" s="88">
        <v>937.71452434667208</v>
      </c>
    </row>
    <row r="33" spans="1:15" s="77" customFormat="1" ht="14.4" x14ac:dyDescent="0.3">
      <c r="A33" s="67"/>
      <c r="B33" s="86" t="s">
        <v>112</v>
      </c>
      <c r="C33" s="87">
        <v>14.829839377231416</v>
      </c>
      <c r="D33" s="87">
        <v>14.21277886174791</v>
      </c>
      <c r="E33" s="87">
        <v>14.15511769637283</v>
      </c>
      <c r="F33" s="87">
        <v>16.079580484408755</v>
      </c>
      <c r="G33" s="87">
        <v>15.169111173147661</v>
      </c>
      <c r="H33" s="87">
        <v>14.513168182614333</v>
      </c>
      <c r="I33" s="87">
        <v>16.816451247998536</v>
      </c>
      <c r="J33" s="87">
        <v>15.656080169318432</v>
      </c>
      <c r="K33" s="87">
        <v>16.832639694404179</v>
      </c>
      <c r="L33" s="87">
        <v>13.998107134109212</v>
      </c>
      <c r="M33" s="87">
        <v>15.650485969679194</v>
      </c>
      <c r="N33" s="87">
        <v>0</v>
      </c>
      <c r="O33" s="88">
        <v>167.91335999103242</v>
      </c>
    </row>
    <row r="34" spans="1:15" s="77" customFormat="1" ht="14.4" x14ac:dyDescent="0.3">
      <c r="A34" s="67"/>
      <c r="B34" s="86" t="s">
        <v>113</v>
      </c>
      <c r="C34" s="87">
        <v>0.6847519026241432</v>
      </c>
      <c r="D34" s="87">
        <v>1.5338961031683631</v>
      </c>
      <c r="E34" s="87">
        <v>1.7038525743312549</v>
      </c>
      <c r="F34" s="87">
        <v>0.95819782043570279</v>
      </c>
      <c r="G34" s="87">
        <v>0.72184103774645592</v>
      </c>
      <c r="H34" s="87">
        <v>0.96649882148681832</v>
      </c>
      <c r="I34" s="87">
        <v>0.68092156173274587</v>
      </c>
      <c r="J34" s="87">
        <v>1.025351435263667</v>
      </c>
      <c r="K34" s="87">
        <v>3.9066262858155398</v>
      </c>
      <c r="L34" s="87">
        <v>3.0552002261261291</v>
      </c>
      <c r="M34" s="87">
        <v>2.4549991151235662</v>
      </c>
      <c r="N34" s="87">
        <v>0</v>
      </c>
      <c r="O34" s="88">
        <v>17.692136883854385</v>
      </c>
    </row>
    <row r="35" spans="1:15" s="77" customFormat="1" ht="15" hidden="1" customHeight="1" outlineLevel="3" x14ac:dyDescent="0.3">
      <c r="A35" s="67"/>
      <c r="B35" s="86" t="s">
        <v>257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v>22.850774724104689</v>
      </c>
      <c r="D37" s="98">
        <v>30.160338636365786</v>
      </c>
      <c r="E37" s="98">
        <v>27.872129664465625</v>
      </c>
      <c r="F37" s="98">
        <v>28.486431983754066</v>
      </c>
      <c r="G37" s="98">
        <v>26.3353883907929</v>
      </c>
      <c r="H37" s="98">
        <v>28.897897256036138</v>
      </c>
      <c r="I37" s="98">
        <v>29.840314127188947</v>
      </c>
      <c r="J37" s="98">
        <v>29.392139915600612</v>
      </c>
      <c r="K37" s="98">
        <v>25.055261920802216</v>
      </c>
      <c r="L37" s="98">
        <v>33.404887190401666</v>
      </c>
      <c r="M37" s="98">
        <v>30.179365725323123</v>
      </c>
      <c r="N37" s="98">
        <v>0</v>
      </c>
      <c r="O37" s="98">
        <v>312.47492953483578</v>
      </c>
    </row>
    <row r="38" spans="1:15" s="77" customFormat="1" ht="14.4" x14ac:dyDescent="0.3">
      <c r="A38" s="67"/>
      <c r="B38" s="86" t="s">
        <v>267</v>
      </c>
      <c r="C38" s="386">
        <v>18.822336737602328</v>
      </c>
      <c r="D38" s="386">
        <v>26.024777162411972</v>
      </c>
      <c r="E38" s="386">
        <v>24.186052621622753</v>
      </c>
      <c r="F38" s="386">
        <v>23.796764681851144</v>
      </c>
      <c r="G38" s="386">
        <v>23.180384530935594</v>
      </c>
      <c r="H38" s="386">
        <v>24.892882393574695</v>
      </c>
      <c r="I38" s="386">
        <v>24.857065996913192</v>
      </c>
      <c r="J38" s="386">
        <v>25.746850418585517</v>
      </c>
      <c r="K38" s="386">
        <v>21.221562243218045</v>
      </c>
      <c r="L38" s="386">
        <v>28.304693051416884</v>
      </c>
      <c r="M38" s="386">
        <v>26.37586075420101</v>
      </c>
      <c r="N38" s="386">
        <v>0</v>
      </c>
      <c r="O38" s="88">
        <v>267.40923059233313</v>
      </c>
    </row>
    <row r="39" spans="1:15" s="77" customFormat="1" ht="14.4" x14ac:dyDescent="0.3">
      <c r="A39" s="67"/>
      <c r="B39" s="86" t="s">
        <v>115</v>
      </c>
      <c r="C39" s="87">
        <v>7.8814018063166209</v>
      </c>
      <c r="D39" s="87">
        <v>9.0891421899140745</v>
      </c>
      <c r="E39" s="87">
        <v>9.6845291969094092</v>
      </c>
      <c r="F39" s="87">
        <v>8.6135303305806836</v>
      </c>
      <c r="G39" s="87">
        <v>8.0789416517665735</v>
      </c>
      <c r="H39" s="87">
        <v>11.122163737050508</v>
      </c>
      <c r="I39" s="87">
        <v>8.9659689360720058</v>
      </c>
      <c r="J39" s="87">
        <v>10.260314173428789</v>
      </c>
      <c r="K39" s="87">
        <v>7.9554407404993057</v>
      </c>
      <c r="L39" s="87">
        <v>9.2355825110901542</v>
      </c>
      <c r="M39" s="87">
        <v>8.9424302177653665</v>
      </c>
      <c r="N39" s="87">
        <v>0</v>
      </c>
      <c r="O39" s="88">
        <v>99.8294454913935</v>
      </c>
    </row>
    <row r="40" spans="1:15" s="77" customFormat="1" ht="14.4" x14ac:dyDescent="0.3">
      <c r="A40" s="67"/>
      <c r="B40" s="86" t="s">
        <v>116</v>
      </c>
      <c r="C40" s="87">
        <v>9.0805633393388039</v>
      </c>
      <c r="D40" s="87">
        <v>13.302675782538985</v>
      </c>
      <c r="E40" s="87">
        <v>11.127182488967239</v>
      </c>
      <c r="F40" s="87">
        <v>10.634076293202078</v>
      </c>
      <c r="G40" s="87">
        <v>11.378399578377307</v>
      </c>
      <c r="H40" s="87">
        <v>10.757291946560343</v>
      </c>
      <c r="I40" s="87">
        <v>13.088981151456405</v>
      </c>
      <c r="J40" s="87">
        <v>13.313698997592905</v>
      </c>
      <c r="K40" s="87">
        <v>10.641539498751335</v>
      </c>
      <c r="L40" s="87">
        <v>15.921047832547949</v>
      </c>
      <c r="M40" s="87">
        <v>13.998207952165806</v>
      </c>
      <c r="N40" s="87">
        <v>0</v>
      </c>
      <c r="O40" s="88">
        <v>133.24366486149916</v>
      </c>
    </row>
    <row r="41" spans="1:15" s="77" customFormat="1" ht="14.4" x14ac:dyDescent="0.3">
      <c r="A41" s="67"/>
      <c r="B41" s="86" t="s">
        <v>117</v>
      </c>
      <c r="C41" s="87">
        <v>1.20596357360898</v>
      </c>
      <c r="D41" s="87">
        <v>1.7486896152497042</v>
      </c>
      <c r="E41" s="87">
        <v>1.4269341488943428</v>
      </c>
      <c r="F41" s="87">
        <v>1.3241234957605457</v>
      </c>
      <c r="G41" s="87">
        <v>1.4425304136598456</v>
      </c>
      <c r="H41" s="87">
        <v>1.3428080682251102</v>
      </c>
      <c r="I41" s="87">
        <v>1.104669597804167</v>
      </c>
      <c r="J41" s="87">
        <v>1.3135247044594902</v>
      </c>
      <c r="K41" s="87">
        <v>1.2249353977756128</v>
      </c>
      <c r="L41" s="87">
        <v>1.6319604568929171</v>
      </c>
      <c r="M41" s="87">
        <v>1.6276705873952779</v>
      </c>
      <c r="N41" s="87">
        <v>0</v>
      </c>
      <c r="O41" s="88">
        <v>15.393810059725993</v>
      </c>
    </row>
    <row r="42" spans="1:15" s="77" customFormat="1" ht="14.4" x14ac:dyDescent="0.3">
      <c r="A42" s="67"/>
      <c r="B42" s="86" t="s">
        <v>120</v>
      </c>
      <c r="C42" s="87">
        <v>0.65440801833792106</v>
      </c>
      <c r="D42" s="87">
        <v>1.8842695747092093</v>
      </c>
      <c r="E42" s="87">
        <v>1.9474067868517611</v>
      </c>
      <c r="F42" s="87">
        <v>3.2250345623078296</v>
      </c>
      <c r="G42" s="87">
        <v>2.2805128871318687</v>
      </c>
      <c r="H42" s="87">
        <v>1.6706186417387292</v>
      </c>
      <c r="I42" s="87">
        <v>1.6974463115806109</v>
      </c>
      <c r="J42" s="87">
        <v>0.85931254310433192</v>
      </c>
      <c r="K42" s="87">
        <v>1.3996466061917932</v>
      </c>
      <c r="L42" s="87">
        <v>1.5161022508858673</v>
      </c>
      <c r="M42" s="87">
        <v>1.8075519968745593</v>
      </c>
      <c r="N42" s="87">
        <v>0</v>
      </c>
      <c r="O42" s="88">
        <v>18.942310179714479</v>
      </c>
    </row>
    <row r="43" spans="1:15" s="77" customFormat="1" ht="14.4" x14ac:dyDescent="0.3">
      <c r="A43" s="67"/>
      <c r="B43" s="86" t="s">
        <v>268</v>
      </c>
      <c r="C43" s="87">
        <v>4.0284379865023627</v>
      </c>
      <c r="D43" s="87">
        <v>4.1355614739538149</v>
      </c>
      <c r="E43" s="87">
        <v>3.6860770428428702</v>
      </c>
      <c r="F43" s="87">
        <v>4.6896673019029222</v>
      </c>
      <c r="G43" s="87">
        <v>3.1550038598573047</v>
      </c>
      <c r="H43" s="87">
        <v>4.0050148624614446</v>
      </c>
      <c r="I43" s="87">
        <v>4.9832481302757552</v>
      </c>
      <c r="J43" s="87">
        <v>3.6452894970150966</v>
      </c>
      <c r="K43" s="87">
        <v>3.8336996775841712</v>
      </c>
      <c r="L43" s="87">
        <v>5.1001941389847847</v>
      </c>
      <c r="M43" s="87">
        <v>3.8035049711221123</v>
      </c>
      <c r="N43" s="87">
        <v>0</v>
      </c>
      <c r="O43" s="88">
        <v>45.06569894250265</v>
      </c>
    </row>
    <row r="44" spans="1:15" s="77" customFormat="1" ht="14.4" x14ac:dyDescent="0.3">
      <c r="A44" s="67"/>
      <c r="B44" s="86" t="s">
        <v>118</v>
      </c>
      <c r="C44" s="87">
        <v>0.37690560074777257</v>
      </c>
      <c r="D44" s="87">
        <v>1.0297971519946019</v>
      </c>
      <c r="E44" s="87">
        <v>0.71187897576751302</v>
      </c>
      <c r="F44" s="87">
        <v>1.3716678446139432</v>
      </c>
      <c r="G44" s="87">
        <v>0.53760501943991423</v>
      </c>
      <c r="H44" s="87">
        <v>0.94038945415206443</v>
      </c>
      <c r="I44" s="87">
        <v>1.2699379062375427</v>
      </c>
      <c r="J44" s="87">
        <v>0.60204258227357332</v>
      </c>
      <c r="K44" s="87">
        <v>0.44833347574833948</v>
      </c>
      <c r="L44" s="87">
        <v>0.9497275584323206</v>
      </c>
      <c r="M44" s="87">
        <v>0.5522146961651293</v>
      </c>
      <c r="N44" s="87">
        <v>0</v>
      </c>
      <c r="O44" s="88">
        <v>8.7905002655727138</v>
      </c>
    </row>
    <row r="45" spans="1:15" s="77" customFormat="1" ht="14.4" x14ac:dyDescent="0.3">
      <c r="A45" s="67"/>
      <c r="B45" s="86" t="s">
        <v>119</v>
      </c>
      <c r="C45" s="87">
        <v>3.6515323857545905</v>
      </c>
      <c r="D45" s="87">
        <v>3.1057643219592128</v>
      </c>
      <c r="E45" s="87">
        <v>2.9741980670753572</v>
      </c>
      <c r="F45" s="87">
        <v>3.3179994572889795</v>
      </c>
      <c r="G45" s="87">
        <v>2.6173988404173905</v>
      </c>
      <c r="H45" s="87">
        <v>3.0646254083093805</v>
      </c>
      <c r="I45" s="87">
        <v>3.7133102240382128</v>
      </c>
      <c r="J45" s="87">
        <v>3.0432469147415233</v>
      </c>
      <c r="K45" s="87">
        <v>3.3853662018358319</v>
      </c>
      <c r="L45" s="87">
        <v>4.1504665805524645</v>
      </c>
      <c r="M45" s="87">
        <v>3.251290274956983</v>
      </c>
      <c r="N45" s="87">
        <v>0</v>
      </c>
      <c r="O45" s="88">
        <v>36.275198676929932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v>0.2629873404172367</v>
      </c>
      <c r="D47" s="102">
        <v>0.76923037005958772</v>
      </c>
      <c r="E47" s="102">
        <v>0.80026507522221491</v>
      </c>
      <c r="F47" s="102">
        <v>0.75181107440668149</v>
      </c>
      <c r="G47" s="102">
        <v>0.50360843106320174</v>
      </c>
      <c r="H47" s="102">
        <v>0.68495341784392572</v>
      </c>
      <c r="I47" s="102">
        <v>1.9807274341088281</v>
      </c>
      <c r="J47" s="102">
        <v>0.61335713826858973</v>
      </c>
      <c r="K47" s="102">
        <v>2.1640979929212292</v>
      </c>
      <c r="L47" s="102">
        <v>0.31447509387093048</v>
      </c>
      <c r="M47" s="102">
        <v>0.36169011128854611</v>
      </c>
      <c r="N47" s="102">
        <v>0</v>
      </c>
      <c r="O47" s="102">
        <v>9.2072034794709712</v>
      </c>
    </row>
    <row r="48" spans="1:15" s="77" customFormat="1" ht="14.4" x14ac:dyDescent="0.3">
      <c r="A48" s="67"/>
      <c r="B48" s="86" t="s">
        <v>73</v>
      </c>
      <c r="C48" s="103">
        <v>0.2629873404172367</v>
      </c>
      <c r="D48" s="103">
        <v>0.76923037005958772</v>
      </c>
      <c r="E48" s="103">
        <v>0.80026507522221491</v>
      </c>
      <c r="F48" s="103">
        <v>0.75181107440668149</v>
      </c>
      <c r="G48" s="103">
        <v>0.50360843106320174</v>
      </c>
      <c r="H48" s="103">
        <v>0.68495341784392572</v>
      </c>
      <c r="I48" s="103">
        <v>1.9807274341088281</v>
      </c>
      <c r="J48" s="103">
        <v>0.61335713826858973</v>
      </c>
      <c r="K48" s="103">
        <v>2.1640979929212292</v>
      </c>
      <c r="L48" s="103">
        <v>0.31447509387093048</v>
      </c>
      <c r="M48" s="103">
        <v>0.36169011128854611</v>
      </c>
      <c r="N48" s="103">
        <v>0</v>
      </c>
      <c r="O48" s="104">
        <v>9.2072034794709712</v>
      </c>
    </row>
    <row r="49" spans="1:16" s="77" customFormat="1" ht="15" hidden="1" customHeight="1" outlineLevel="1" x14ac:dyDescent="0.3">
      <c r="A49" s="67"/>
      <c r="B49" s="89" t="s">
        <v>122</v>
      </c>
      <c r="C49" s="99">
        <v>0</v>
      </c>
      <c r="D49" s="99">
        <v>0</v>
      </c>
      <c r="E49" s="99">
        <v>0</v>
      </c>
      <c r="F49" s="99">
        <v>0</v>
      </c>
      <c r="G49" s="99">
        <v>2.6647859555762151E-2</v>
      </c>
      <c r="H49" s="99">
        <v>8.2656082190533886E-2</v>
      </c>
      <c r="I49" s="99">
        <v>7.989213943030582E-2</v>
      </c>
      <c r="J49" s="99">
        <v>8.2569970411183233E-2</v>
      </c>
      <c r="K49" s="99">
        <v>8.3190239785760858E-2</v>
      </c>
      <c r="L49" s="99">
        <v>8.0855553746764078E-2</v>
      </c>
      <c r="M49" s="99">
        <v>0.14013798182702883</v>
      </c>
      <c r="N49" s="99">
        <v>0</v>
      </c>
      <c r="O49" s="100">
        <v>0.57594982694733887</v>
      </c>
    </row>
    <row r="50" spans="1:16" s="77" customFormat="1" ht="15" hidden="1" customHeight="1" outlineLevel="1" x14ac:dyDescent="0.3">
      <c r="A50" s="67"/>
      <c r="B50" s="89" t="s">
        <v>123</v>
      </c>
      <c r="C50" s="99">
        <v>0.2629873404172367</v>
      </c>
      <c r="D50" s="99">
        <v>0.76923037005958772</v>
      </c>
      <c r="E50" s="99">
        <v>0.80026507522221491</v>
      </c>
      <c r="F50" s="99">
        <v>0.75181107440668149</v>
      </c>
      <c r="G50" s="99">
        <v>0.47696057150743959</v>
      </c>
      <c r="H50" s="99">
        <v>0.60229733565339183</v>
      </c>
      <c r="I50" s="99">
        <v>1.9008352946785223</v>
      </c>
      <c r="J50" s="99">
        <v>0.53078716785740654</v>
      </c>
      <c r="K50" s="99">
        <v>2.0809077531354685</v>
      </c>
      <c r="L50" s="99">
        <v>0.23361954012416641</v>
      </c>
      <c r="M50" s="99">
        <v>0.22155212946151731</v>
      </c>
      <c r="N50" s="99">
        <v>0</v>
      </c>
      <c r="O50" s="100">
        <v>8.6312536525236343</v>
      </c>
    </row>
    <row r="51" spans="1:16" s="77" customFormat="1" ht="15" hidden="1" customHeight="1" outlineLevel="1" x14ac:dyDescent="0.3">
      <c r="A51" s="67"/>
      <c r="B51" s="89" t="s">
        <v>124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v>-55.892610667999065</v>
      </c>
      <c r="D53" s="107">
        <v>-34.501857862045696</v>
      </c>
      <c r="E53" s="107">
        <v>-17.460667282792372</v>
      </c>
      <c r="F53" s="107">
        <v>-55.878190964412084</v>
      </c>
      <c r="G53" s="107">
        <v>-35.020747892362309</v>
      </c>
      <c r="H53" s="107">
        <v>-36.236243755648559</v>
      </c>
      <c r="I53" s="107">
        <v>-37.012074278469697</v>
      </c>
      <c r="J53" s="107">
        <v>-52.150592278413882</v>
      </c>
      <c r="K53" s="107">
        <v>-52.726151155399862</v>
      </c>
      <c r="L53" s="107">
        <v>-58.075924963546555</v>
      </c>
      <c r="M53" s="107">
        <v>-52.682715031069421</v>
      </c>
      <c r="N53" s="107">
        <v>0</v>
      </c>
      <c r="O53" s="107">
        <v>-487.63777613215939</v>
      </c>
    </row>
    <row r="54" spans="1:16" s="77" customFormat="1" ht="14.4" x14ac:dyDescent="0.3">
      <c r="A54" s="67"/>
      <c r="B54" s="106" t="s">
        <v>126</v>
      </c>
      <c r="C54" s="107">
        <v>-74.343516339078178</v>
      </c>
      <c r="D54" s="107">
        <v>-63.278711678106589</v>
      </c>
      <c r="E54" s="107">
        <v>-43.774572260975802</v>
      </c>
      <c r="F54" s="107">
        <v>-82.850643134892636</v>
      </c>
      <c r="G54" s="107">
        <v>-58.627150944954778</v>
      </c>
      <c r="H54" s="107">
        <v>-63.72076878773818</v>
      </c>
      <c r="I54" s="107">
        <v>-66.711875898878674</v>
      </c>
      <c r="J54" s="107">
        <v>-79.797060105463629</v>
      </c>
      <c r="K54" s="107">
        <v>-77.573855990985948</v>
      </c>
      <c r="L54" s="107">
        <v>-88.910423322887141</v>
      </c>
      <c r="M54" s="107">
        <v>-78.535110597045019</v>
      </c>
      <c r="N54" s="107">
        <v>0</v>
      </c>
      <c r="O54" s="107">
        <v>-778.12368906100642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v>7.2100105522179003</v>
      </c>
      <c r="D56" s="96">
        <v>5.5762273392317647</v>
      </c>
      <c r="E56" s="96">
        <v>6.3756136350425567</v>
      </c>
      <c r="F56" s="96">
        <v>7.6573320335664343</v>
      </c>
      <c r="G56" s="96">
        <v>7.2096765903939062</v>
      </c>
      <c r="H56" s="96">
        <v>7.8292373151480072</v>
      </c>
      <c r="I56" s="96">
        <v>8.0269266617061454</v>
      </c>
      <c r="J56" s="96">
        <v>8.7563556647150271</v>
      </c>
      <c r="K56" s="96">
        <v>11.493264200170545</v>
      </c>
      <c r="L56" s="96">
        <v>12.537644343265239</v>
      </c>
      <c r="M56" s="96">
        <v>17.638979723038258</v>
      </c>
      <c r="N56" s="96">
        <v>0</v>
      </c>
      <c r="O56" s="96">
        <v>100.31126805849578</v>
      </c>
    </row>
    <row r="57" spans="1:16" s="77" customFormat="1" ht="14.4" x14ac:dyDescent="0.3">
      <c r="A57" s="67"/>
      <c r="B57" s="86" t="s">
        <v>128</v>
      </c>
      <c r="C57" s="103">
        <v>5.1329620743827871</v>
      </c>
      <c r="D57" s="103">
        <v>4.537925679383374</v>
      </c>
      <c r="E57" s="103">
        <v>4.428776451042439</v>
      </c>
      <c r="F57" s="103">
        <v>5.9950631770431979</v>
      </c>
      <c r="G57" s="103">
        <v>6.4159365725843625</v>
      </c>
      <c r="H57" s="103">
        <v>6.9074424883327676</v>
      </c>
      <c r="I57" s="103">
        <v>6.3921360609907065</v>
      </c>
      <c r="J57" s="103">
        <v>3.6594694642378185</v>
      </c>
      <c r="K57" s="103">
        <v>5.2207487542063813</v>
      </c>
      <c r="L57" s="103">
        <v>9.1725613028694433</v>
      </c>
      <c r="M57" s="103">
        <v>6.7426056204973062</v>
      </c>
      <c r="N57" s="103">
        <v>0</v>
      </c>
      <c r="O57" s="88">
        <v>64.605627645570578</v>
      </c>
    </row>
    <row r="58" spans="1:16" s="77" customFormat="1" ht="14.4" x14ac:dyDescent="0.3">
      <c r="A58" s="67"/>
      <c r="B58" s="86" t="s">
        <v>129</v>
      </c>
      <c r="C58" s="103">
        <v>2.0770484778351128</v>
      </c>
      <c r="D58" s="103">
        <v>1.038301659848391</v>
      </c>
      <c r="E58" s="103">
        <v>1.9468371840001182</v>
      </c>
      <c r="F58" s="103">
        <v>1.6622688565232366</v>
      </c>
      <c r="G58" s="103">
        <v>0.7937400178095434</v>
      </c>
      <c r="H58" s="103">
        <v>0.9217948268152395</v>
      </c>
      <c r="I58" s="103">
        <v>1.6347906007154398</v>
      </c>
      <c r="J58" s="103">
        <v>5.0968862004772078</v>
      </c>
      <c r="K58" s="103">
        <v>6.2725154459641637</v>
      </c>
      <c r="L58" s="103">
        <v>3.3650830403957945</v>
      </c>
      <c r="M58" s="103">
        <v>10.896374102540952</v>
      </c>
      <c r="N58" s="103">
        <v>0</v>
      </c>
      <c r="O58" s="88">
        <v>35.705640412925199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v>-81.553526891296073</v>
      </c>
      <c r="D60" s="107">
        <v>-68.854939017338353</v>
      </c>
      <c r="E60" s="107">
        <v>-50.150185896018357</v>
      </c>
      <c r="F60" s="107">
        <v>-90.507975168459069</v>
      </c>
      <c r="G60" s="107">
        <v>-65.836827535348689</v>
      </c>
      <c r="H60" s="107">
        <v>-71.550006102886186</v>
      </c>
      <c r="I60" s="107">
        <v>-74.738802560584816</v>
      </c>
      <c r="J60" s="107">
        <v>-88.55341577017866</v>
      </c>
      <c r="K60" s="107">
        <v>-89.067120191156491</v>
      </c>
      <c r="L60" s="107">
        <v>-101.44806766615238</v>
      </c>
      <c r="M60" s="107">
        <v>-96.17409032008328</v>
      </c>
      <c r="N60" s="107">
        <v>0</v>
      </c>
      <c r="O60" s="107">
        <v>-878.4349571195022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v>125.49085911227739</v>
      </c>
      <c r="D62" s="112">
        <v>72.431128969289531</v>
      </c>
      <c r="E62" s="112">
        <v>-49.012152369507419</v>
      </c>
      <c r="F62" s="112">
        <v>165.77211945144265</v>
      </c>
      <c r="G62" s="112">
        <v>17.519981404906495</v>
      </c>
      <c r="H62" s="112">
        <v>110.14506144275506</v>
      </c>
      <c r="I62" s="112">
        <v>61.985608544914477</v>
      </c>
      <c r="J62" s="112">
        <v>181.03366386959294</v>
      </c>
      <c r="K62" s="112">
        <v>130.71475987591731</v>
      </c>
      <c r="L62" s="112">
        <v>-21.394412342352972</v>
      </c>
      <c r="M62" s="112">
        <v>112.7098811192911</v>
      </c>
      <c r="N62" s="112">
        <v>0</v>
      </c>
      <c r="O62" s="112">
        <v>907.39649907852663</v>
      </c>
    </row>
    <row r="63" spans="1:16" s="77" customFormat="1" ht="14.4" x14ac:dyDescent="0.3">
      <c r="A63" s="67"/>
      <c r="B63" s="86" t="s">
        <v>132</v>
      </c>
      <c r="C63" s="396">
        <v>38.465754000000004</v>
      </c>
      <c r="D63" s="396">
        <v>38.465754000000004</v>
      </c>
      <c r="E63" s="396">
        <v>38.465754000000004</v>
      </c>
      <c r="F63" s="396">
        <v>65.165756999999999</v>
      </c>
      <c r="G63" s="396">
        <v>38.465757080000003</v>
      </c>
      <c r="H63" s="396">
        <v>38.465756999999996</v>
      </c>
      <c r="I63" s="396">
        <v>38.465756999999996</v>
      </c>
      <c r="J63" s="396">
        <v>59.867576</v>
      </c>
      <c r="K63" s="396">
        <v>96.043031999999997</v>
      </c>
      <c r="L63" s="396">
        <v>96.043031999999997</v>
      </c>
      <c r="M63" s="396">
        <v>96.043031999999997</v>
      </c>
      <c r="N63" s="396">
        <v>0</v>
      </c>
      <c r="O63" s="397">
        <v>643.95696208000004</v>
      </c>
    </row>
    <row r="64" spans="1:16" s="77" customFormat="1" ht="14.4" x14ac:dyDescent="0.3">
      <c r="A64" s="67"/>
      <c r="B64" s="89" t="s">
        <v>133</v>
      </c>
      <c r="C64" s="394">
        <v>38.465754000000004</v>
      </c>
      <c r="D64" s="394">
        <v>38.465754000000004</v>
      </c>
      <c r="E64" s="394">
        <v>38.465754000000004</v>
      </c>
      <c r="F64" s="394">
        <v>65.165756999999999</v>
      </c>
      <c r="G64" s="394">
        <v>38.465757080000003</v>
      </c>
      <c r="H64" s="394">
        <v>38.465756999999996</v>
      </c>
      <c r="I64" s="394">
        <v>38.465756999999996</v>
      </c>
      <c r="J64" s="394">
        <v>59.867576</v>
      </c>
      <c r="K64" s="394">
        <v>96.043031999999997</v>
      </c>
      <c r="L64" s="394">
        <v>96.043031999999997</v>
      </c>
      <c r="M64" s="394">
        <v>96.043031999999997</v>
      </c>
      <c r="N64" s="394">
        <v>0</v>
      </c>
      <c r="O64" s="395">
        <v>643.95696208000004</v>
      </c>
    </row>
    <row r="65" spans="1:16" s="77" customFormat="1" ht="14.4" x14ac:dyDescent="0.3">
      <c r="A65" s="67"/>
      <c r="B65" s="89" t="s">
        <v>262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134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137</v>
      </c>
      <c r="C69" s="396">
        <v>-7.4968280842740036</v>
      </c>
      <c r="D69" s="396">
        <v>12.061749488185193</v>
      </c>
      <c r="E69" s="396">
        <v>-57.338026965511617</v>
      </c>
      <c r="F69" s="396">
        <v>39.580625236342726</v>
      </c>
      <c r="G69" s="396">
        <v>-28.0356100773168</v>
      </c>
      <c r="H69" s="396">
        <v>27.316422721275384</v>
      </c>
      <c r="I69" s="396">
        <v>-30.180138547107372</v>
      </c>
      <c r="J69" s="396">
        <v>65.280181391175759</v>
      </c>
      <c r="K69" s="396">
        <v>-7.8154543188823311</v>
      </c>
      <c r="L69" s="396">
        <v>-41.312469138992981</v>
      </c>
      <c r="M69" s="396">
        <v>6.7754052377499576</v>
      </c>
      <c r="N69" s="396">
        <v>0</v>
      </c>
      <c r="O69" s="397">
        <v>-21.164143057356089</v>
      </c>
    </row>
    <row r="70" spans="1:16" s="77" customFormat="1" ht="14.4" x14ac:dyDescent="0.3">
      <c r="A70" s="67"/>
      <c r="B70" s="399" t="s">
        <v>138</v>
      </c>
      <c r="C70" s="400">
        <v>0</v>
      </c>
      <c r="D70" s="400">
        <v>0</v>
      </c>
      <c r="E70" s="400">
        <v>0</v>
      </c>
      <c r="F70" s="400">
        <v>0</v>
      </c>
      <c r="G70" s="400">
        <v>11.998466021098896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11.998466021098896</v>
      </c>
    </row>
    <row r="71" spans="1:16" s="77" customFormat="1" ht="14.4" x14ac:dyDescent="0.3">
      <c r="A71" s="67"/>
      <c r="B71" s="399" t="s">
        <v>139</v>
      </c>
      <c r="C71" s="400">
        <v>-7.4968280842740036</v>
      </c>
      <c r="D71" s="400">
        <v>12.061749488185193</v>
      </c>
      <c r="E71" s="400">
        <v>-57.338026965511617</v>
      </c>
      <c r="F71" s="400">
        <v>39.580625236342726</v>
      </c>
      <c r="G71" s="400">
        <v>-40.034076098415696</v>
      </c>
      <c r="H71" s="400">
        <v>27.316422721275384</v>
      </c>
      <c r="I71" s="400">
        <v>-30.180138547107372</v>
      </c>
      <c r="J71" s="400">
        <v>65.280181391175759</v>
      </c>
      <c r="K71" s="400">
        <v>-7.8154543188823311</v>
      </c>
      <c r="L71" s="400">
        <v>-41.312469138992981</v>
      </c>
      <c r="M71" s="400">
        <v>6.7754052377499576</v>
      </c>
      <c r="N71" s="400">
        <v>0</v>
      </c>
      <c r="O71" s="395">
        <v>-33.162609078454985</v>
      </c>
    </row>
    <row r="72" spans="1:16" s="77" customFormat="1" ht="14.4" x14ac:dyDescent="0.3">
      <c r="A72" s="67"/>
      <c r="B72" s="398" t="s">
        <v>140</v>
      </c>
      <c r="C72" s="396">
        <v>92.444884718716281</v>
      </c>
      <c r="D72" s="396">
        <v>20.865323821255956</v>
      </c>
      <c r="E72" s="396">
        <v>-32.086716587995923</v>
      </c>
      <c r="F72" s="396">
        <v>59.363468358576689</v>
      </c>
      <c r="G72" s="396">
        <v>6.2960943844137489</v>
      </c>
      <c r="H72" s="396">
        <v>43.441086894664437</v>
      </c>
      <c r="I72" s="396">
        <v>52.065199491306416</v>
      </c>
      <c r="J72" s="396">
        <v>50.789020277939983</v>
      </c>
      <c r="K72" s="396">
        <v>36.214666748835484</v>
      </c>
      <c r="L72" s="396">
        <v>-79.490058243755783</v>
      </c>
      <c r="M72" s="396">
        <v>-1.0049302209998023</v>
      </c>
      <c r="N72" s="396">
        <v>0</v>
      </c>
      <c r="O72" s="397">
        <v>248.89803964295757</v>
      </c>
    </row>
    <row r="73" spans="1:16" s="77" customFormat="1" ht="14.4" x14ac:dyDescent="0.3">
      <c r="A73" s="67"/>
      <c r="B73" s="399" t="s">
        <v>141</v>
      </c>
      <c r="C73" s="400">
        <v>0.51503237947779112</v>
      </c>
      <c r="D73" s="400">
        <v>-21.598004186926353</v>
      </c>
      <c r="E73" s="400">
        <v>-3.4862379950428446</v>
      </c>
      <c r="F73" s="400">
        <v>15.613005493739237</v>
      </c>
      <c r="G73" s="400">
        <v>-8.6345038467588484</v>
      </c>
      <c r="H73" s="400">
        <v>1.5751774572309032</v>
      </c>
      <c r="I73" s="400">
        <v>-0.1440470308581574</v>
      </c>
      <c r="J73" s="400">
        <v>10.513649788055218</v>
      </c>
      <c r="K73" s="400">
        <v>9.2567681535993618</v>
      </c>
      <c r="L73" s="400">
        <v>15.545025210309122</v>
      </c>
      <c r="M73" s="400">
        <v>-2.7847142483863303</v>
      </c>
      <c r="N73" s="400">
        <v>0</v>
      </c>
      <c r="O73" s="395">
        <v>16.371151174439103</v>
      </c>
    </row>
    <row r="74" spans="1:16" s="77" customFormat="1" ht="14.4" x14ac:dyDescent="0.3">
      <c r="A74" s="67"/>
      <c r="B74" s="399" t="s">
        <v>262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259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142</v>
      </c>
      <c r="C76" s="400">
        <v>91.929852339238494</v>
      </c>
      <c r="D76" s="400">
        <v>42.463328008182309</v>
      </c>
      <c r="E76" s="400">
        <v>-28.600478592953081</v>
      </c>
      <c r="F76" s="400">
        <v>43.750462864837452</v>
      </c>
      <c r="G76" s="400">
        <v>14.930598231172597</v>
      </c>
      <c r="H76" s="400">
        <v>41.865909437433537</v>
      </c>
      <c r="I76" s="400">
        <v>52.20924652216457</v>
      </c>
      <c r="J76" s="400">
        <v>40.275370489884764</v>
      </c>
      <c r="K76" s="400">
        <v>26.95789859523612</v>
      </c>
      <c r="L76" s="400">
        <v>-95.035083454064903</v>
      </c>
      <c r="M76" s="400">
        <v>1.779784027386528</v>
      </c>
      <c r="N76" s="400">
        <v>0</v>
      </c>
      <c r="O76" s="395">
        <v>232.52688846851848</v>
      </c>
    </row>
    <row r="77" spans="1:16" s="77" customFormat="1" ht="14.4" x14ac:dyDescent="0.3">
      <c r="A77" s="67"/>
      <c r="B77" s="399" t="s">
        <v>143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144</v>
      </c>
      <c r="C78" s="396">
        <v>2.0770484778351128</v>
      </c>
      <c r="D78" s="396">
        <v>1.038301659848391</v>
      </c>
      <c r="E78" s="396">
        <v>1.9468371840001182</v>
      </c>
      <c r="F78" s="396">
        <v>1.6622688565232366</v>
      </c>
      <c r="G78" s="396">
        <v>0.7937400178095434</v>
      </c>
      <c r="H78" s="396">
        <v>0.9217948268152395</v>
      </c>
      <c r="I78" s="396">
        <v>1.6347906007154398</v>
      </c>
      <c r="J78" s="396">
        <v>5.0968862004772078</v>
      </c>
      <c r="K78" s="396">
        <v>6.2725154459641637</v>
      </c>
      <c r="L78" s="396">
        <v>3.3650830403957945</v>
      </c>
      <c r="M78" s="396">
        <v>10.896374102540952</v>
      </c>
      <c r="N78" s="396">
        <v>0</v>
      </c>
      <c r="O78" s="393">
        <v>35.705640412925199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v>43.937332220981318</v>
      </c>
      <c r="D80" s="119">
        <v>3.5761899519511786</v>
      </c>
      <c r="E80" s="119">
        <v>-99.162338265525776</v>
      </c>
      <c r="F80" s="119">
        <v>75.26414428298358</v>
      </c>
      <c r="G80" s="119">
        <v>-48.316846130442194</v>
      </c>
      <c r="H80" s="119">
        <v>38.595055339868878</v>
      </c>
      <c r="I80" s="119">
        <v>-12.753194015670339</v>
      </c>
      <c r="J80" s="119">
        <v>92.480248099414283</v>
      </c>
      <c r="K80" s="119">
        <v>41.647639684760819</v>
      </c>
      <c r="L80" s="119">
        <v>-122.84248000850536</v>
      </c>
      <c r="M80" s="119">
        <v>16.535790799207817</v>
      </c>
      <c r="N80" s="119">
        <v>0</v>
      </c>
      <c r="O80" s="119">
        <v>28.96154195902443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491" t="s">
        <v>374</v>
      </c>
      <c r="C82" s="491"/>
      <c r="D82" s="491"/>
      <c r="E82" s="491"/>
      <c r="F82" s="491"/>
      <c r="G82" s="491"/>
      <c r="H82" s="491"/>
      <c r="I82" s="491"/>
      <c r="J82" s="491"/>
      <c r="K82" s="491"/>
      <c r="L82" s="491"/>
      <c r="M82" s="491"/>
      <c r="N82" s="491"/>
      <c r="O82" s="491"/>
    </row>
    <row r="83" spans="1:15" s="77" customFormat="1" ht="14.4" x14ac:dyDescent="0.3">
      <c r="A83" s="67"/>
      <c r="B83" s="491" t="s">
        <v>371</v>
      </c>
      <c r="C83" s="491"/>
      <c r="D83" s="491"/>
      <c r="E83" s="491"/>
      <c r="F83" s="491"/>
      <c r="G83" s="491"/>
      <c r="H83" s="491"/>
      <c r="I83" s="491"/>
      <c r="J83" s="491"/>
      <c r="K83" s="491"/>
      <c r="L83" s="491"/>
      <c r="M83" s="491"/>
      <c r="N83" s="491"/>
      <c r="O83" s="491"/>
    </row>
    <row r="84" spans="1:15" s="77" customFormat="1" ht="14.4" x14ac:dyDescent="0.3">
      <c r="A84" s="67"/>
      <c r="B84" s="492" t="s">
        <v>95</v>
      </c>
      <c r="C84" s="492"/>
      <c r="D84" s="492"/>
      <c r="E84" s="492"/>
      <c r="F84" s="492"/>
      <c r="G84" s="492"/>
      <c r="H84" s="492"/>
      <c r="I84" s="492"/>
      <c r="J84" s="492"/>
      <c r="K84" s="492"/>
      <c r="L84" s="492"/>
      <c r="M84" s="492"/>
      <c r="N84" s="492"/>
      <c r="O84" s="492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493" t="s">
        <v>96</v>
      </c>
      <c r="C86" s="500" t="s">
        <v>372</v>
      </c>
      <c r="D86" s="501"/>
      <c r="E86" s="501"/>
      <c r="F86" s="501"/>
      <c r="G86" s="501"/>
      <c r="H86" s="501"/>
      <c r="I86" s="501"/>
      <c r="J86" s="501"/>
      <c r="K86" s="501"/>
      <c r="L86" s="501"/>
      <c r="M86" s="501"/>
      <c r="N86" s="502"/>
      <c r="O86" s="498" t="s">
        <v>373</v>
      </c>
    </row>
    <row r="87" spans="1:15" s="77" customFormat="1" ht="14.4" x14ac:dyDescent="0.3">
      <c r="A87" s="67"/>
      <c r="B87" s="494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499"/>
    </row>
    <row r="88" spans="1:15" s="77" customFormat="1" ht="14.4" x14ac:dyDescent="0.3">
      <c r="A88" s="67"/>
      <c r="B88" s="80" t="s">
        <v>97</v>
      </c>
      <c r="C88" s="81">
        <v>36.433223162506579</v>
      </c>
      <c r="D88" s="81">
        <v>36.079444765810138</v>
      </c>
      <c r="E88" s="81">
        <v>38.966513884339605</v>
      </c>
      <c r="F88" s="81">
        <v>37.74905544981393</v>
      </c>
      <c r="G88" s="81">
        <v>40.297661589697789</v>
      </c>
      <c r="H88" s="81">
        <v>42.63250745322879</v>
      </c>
      <c r="I88" s="81">
        <v>45.298595137574111</v>
      </c>
      <c r="J88" s="81">
        <v>46.231617545622051</v>
      </c>
      <c r="K88" s="81">
        <v>48.167450106074554</v>
      </c>
      <c r="L88" s="81">
        <v>51.25224451332987</v>
      </c>
      <c r="M88" s="81">
        <v>49.620454377118818</v>
      </c>
      <c r="N88" s="81">
        <v>0</v>
      </c>
      <c r="O88" s="81">
        <v>472.72876798511618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v>32.852600624122807</v>
      </c>
      <c r="D90" s="85">
        <v>35.270067200952866</v>
      </c>
      <c r="E90" s="85">
        <v>38.14581881455937</v>
      </c>
      <c r="F90" s="85">
        <v>36.816095290434646</v>
      </c>
      <c r="G90" s="85">
        <v>39.45633864250965</v>
      </c>
      <c r="H90" s="85">
        <v>41.83281217611939</v>
      </c>
      <c r="I90" s="85">
        <v>44.516228353590741</v>
      </c>
      <c r="J90" s="85">
        <v>45.369816623200094</v>
      </c>
      <c r="K90" s="85">
        <v>47.215044078836598</v>
      </c>
      <c r="L90" s="85">
        <v>49.789854781563818</v>
      </c>
      <c r="M90" s="85">
        <v>46.341236597703023</v>
      </c>
      <c r="N90" s="85">
        <v>0</v>
      </c>
      <c r="O90" s="85">
        <v>457.60591318359297</v>
      </c>
    </row>
    <row r="91" spans="1:15" s="77" customFormat="1" ht="14.4" x14ac:dyDescent="0.3">
      <c r="A91" s="67"/>
      <c r="B91" s="86" t="s">
        <v>99</v>
      </c>
      <c r="C91" s="87">
        <v>3.6257718262972394</v>
      </c>
      <c r="D91" s="87">
        <v>3.7771613703336508</v>
      </c>
      <c r="E91" s="87">
        <v>3.6951101774008821</v>
      </c>
      <c r="F91" s="87">
        <v>3.7556119707862998</v>
      </c>
      <c r="G91" s="87">
        <v>4.3871817572860872</v>
      </c>
      <c r="H91" s="87">
        <v>4.7154242583911303</v>
      </c>
      <c r="I91" s="87">
        <v>4.6027291083579867</v>
      </c>
      <c r="J91" s="87">
        <v>4.772376592592062</v>
      </c>
      <c r="K91" s="87">
        <v>4.8251439657146893</v>
      </c>
      <c r="L91" s="87">
        <v>4.888913265185149</v>
      </c>
      <c r="M91" s="87">
        <v>4.4031124256015346</v>
      </c>
      <c r="N91" s="87">
        <v>0</v>
      </c>
      <c r="O91" s="88">
        <v>47.448536717946709</v>
      </c>
    </row>
    <row r="92" spans="1:15" s="77" customFormat="1" ht="14.4" x14ac:dyDescent="0.3">
      <c r="A92" s="67"/>
      <c r="B92" s="86" t="s">
        <v>100</v>
      </c>
      <c r="C92" s="87">
        <v>1.5538576316534175E-6</v>
      </c>
      <c r="D92" s="87">
        <v>2.9965586295630655</v>
      </c>
      <c r="E92" s="87">
        <v>3.0486956379086259</v>
      </c>
      <c r="F92" s="87">
        <v>2.9444881845647162</v>
      </c>
      <c r="G92" s="87">
        <v>3.1164892196634946</v>
      </c>
      <c r="H92" s="87">
        <v>3.2741807843391038</v>
      </c>
      <c r="I92" s="87">
        <v>3.2025114300750155</v>
      </c>
      <c r="J92" s="87">
        <v>3.5410399052987729</v>
      </c>
      <c r="K92" s="87">
        <v>3.4120247786253795</v>
      </c>
      <c r="L92" s="87">
        <v>3.4886026181076635</v>
      </c>
      <c r="M92" s="87">
        <v>3.6988526980903056</v>
      </c>
      <c r="N92" s="87">
        <v>0</v>
      </c>
      <c r="O92" s="88">
        <v>32.723445440093776</v>
      </c>
    </row>
    <row r="93" spans="1:15" s="77" customFormat="1" ht="14.4" x14ac:dyDescent="0.3">
      <c r="A93" s="67"/>
      <c r="B93" s="86" t="s">
        <v>101</v>
      </c>
      <c r="C93" s="87">
        <v>0.47518266231037914</v>
      </c>
      <c r="D93" s="87">
        <v>0.45867677531292944</v>
      </c>
      <c r="E93" s="87">
        <v>0.43603362992978723</v>
      </c>
      <c r="F93" s="87">
        <v>0.43947323478672573</v>
      </c>
      <c r="G93" s="87">
        <v>0.40284492603716565</v>
      </c>
      <c r="H93" s="87">
        <v>0.29464453766949394</v>
      </c>
      <c r="I93" s="87">
        <v>0.58514995838840933</v>
      </c>
      <c r="J93" s="87">
        <v>0.5266237208913479</v>
      </c>
      <c r="K93" s="87">
        <v>0.57411110167550805</v>
      </c>
      <c r="L93" s="87">
        <v>0.60323216312389449</v>
      </c>
      <c r="M93" s="87">
        <v>0.59278290827480495</v>
      </c>
      <c r="N93" s="87">
        <v>0</v>
      </c>
      <c r="O93" s="88">
        <v>5.3887556184004461</v>
      </c>
    </row>
    <row r="94" spans="1:15" s="77" customFormat="1" ht="14.4" x14ac:dyDescent="0.3">
      <c r="A94" s="67"/>
      <c r="B94" s="86" t="s">
        <v>102</v>
      </c>
      <c r="C94" s="87">
        <v>0.97250236646000232</v>
      </c>
      <c r="D94" s="87">
        <v>0.87370552199088614</v>
      </c>
      <c r="E94" s="87">
        <v>0.90434994221242981</v>
      </c>
      <c r="F94" s="87">
        <v>0.94272776965313176</v>
      </c>
      <c r="G94" s="87">
        <v>0.93909941740365821</v>
      </c>
      <c r="H94" s="87">
        <v>0.97948671318388636</v>
      </c>
      <c r="I94" s="87">
        <v>1.0403986719258131</v>
      </c>
      <c r="J94" s="87">
        <v>1.0724230139840121</v>
      </c>
      <c r="K94" s="87">
        <v>1.099848753501649</v>
      </c>
      <c r="L94" s="87">
        <v>1.1281403520537374</v>
      </c>
      <c r="M94" s="87">
        <v>1.166826929071114</v>
      </c>
      <c r="N94" s="87">
        <v>0</v>
      </c>
      <c r="O94" s="88">
        <v>11.119509451440321</v>
      </c>
    </row>
    <row r="95" spans="1:15" s="77" customFormat="1" ht="14.4" x14ac:dyDescent="0.3">
      <c r="A95" s="67"/>
      <c r="B95" s="86" t="s">
        <v>103</v>
      </c>
      <c r="C95" s="87">
        <v>8.5876383684495661</v>
      </c>
      <c r="D95" s="87">
        <v>7.7974639976728701</v>
      </c>
      <c r="E95" s="87">
        <v>8.2576426482721832</v>
      </c>
      <c r="F95" s="87">
        <v>8.0927560459923367</v>
      </c>
      <c r="G95" s="87">
        <v>8.8213564098872101</v>
      </c>
      <c r="H95" s="87">
        <v>9.7695352847574544</v>
      </c>
      <c r="I95" s="87">
        <v>10.171173701473508</v>
      </c>
      <c r="J95" s="87">
        <v>9.8942554742558659</v>
      </c>
      <c r="K95" s="87">
        <v>10.628467107242857</v>
      </c>
      <c r="L95" s="87">
        <v>11.635410093764172</v>
      </c>
      <c r="M95" s="87">
        <v>10.153652918817505</v>
      </c>
      <c r="N95" s="87">
        <v>0</v>
      </c>
      <c r="O95" s="88">
        <v>103.80935205058552</v>
      </c>
    </row>
    <row r="96" spans="1:15" s="77" customFormat="1" ht="14.4" x14ac:dyDescent="0.3">
      <c r="A96" s="67"/>
      <c r="B96" s="86" t="s">
        <v>104</v>
      </c>
      <c r="C96" s="87">
        <v>19.191503846747988</v>
      </c>
      <c r="D96" s="87">
        <v>19.366500906079462</v>
      </c>
      <c r="E96" s="87">
        <v>21.803986778835458</v>
      </c>
      <c r="F96" s="87">
        <v>20.641038084651438</v>
      </c>
      <c r="G96" s="87">
        <v>21.789366912232033</v>
      </c>
      <c r="H96" s="87">
        <v>22.799540597778321</v>
      </c>
      <c r="I96" s="87">
        <v>24.914265483370009</v>
      </c>
      <c r="J96" s="87">
        <v>25.56309791617803</v>
      </c>
      <c r="K96" s="87">
        <v>26.675448372076513</v>
      </c>
      <c r="L96" s="87">
        <v>28.045556289329205</v>
      </c>
      <c r="M96" s="87">
        <v>26.32600871784776</v>
      </c>
      <c r="N96" s="87">
        <v>0</v>
      </c>
      <c r="O96" s="88">
        <v>257.11631390512622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v>3.5806225383837731</v>
      </c>
      <c r="D98" s="85">
        <v>0.80937756485727164</v>
      </c>
      <c r="E98" s="85">
        <v>0.82069506978023243</v>
      </c>
      <c r="F98" s="85">
        <v>0.93296015937928689</v>
      </c>
      <c r="G98" s="85">
        <v>0.84132294718814071</v>
      </c>
      <c r="H98" s="85">
        <v>0.79969527710939858</v>
      </c>
      <c r="I98" s="85">
        <v>0.78236678398337123</v>
      </c>
      <c r="J98" s="85">
        <v>0.86180092242195439</v>
      </c>
      <c r="K98" s="85">
        <v>0.95240602723795442</v>
      </c>
      <c r="L98" s="85">
        <v>1.4623897317660486</v>
      </c>
      <c r="M98" s="85">
        <v>3.2792177794157986</v>
      </c>
      <c r="N98" s="85">
        <v>0</v>
      </c>
      <c r="O98" s="85">
        <v>15.122854801523232</v>
      </c>
    </row>
    <row r="99" spans="1:15" s="77" customFormat="1" ht="14.4" x14ac:dyDescent="0.3">
      <c r="A99" s="67"/>
      <c r="B99" s="86" t="s">
        <v>106</v>
      </c>
      <c r="C99" s="87">
        <v>0.62666202447409391</v>
      </c>
      <c r="D99" s="87">
        <v>0.71171008540917846</v>
      </c>
      <c r="E99" s="87">
        <v>0.71671312474108673</v>
      </c>
      <c r="F99" s="87">
        <v>0.70505308433966052</v>
      </c>
      <c r="G99" s="87">
        <v>0.75835354193630422</v>
      </c>
      <c r="H99" s="87">
        <v>0.66691806311681756</v>
      </c>
      <c r="I99" s="87">
        <v>0.68911672593694429</v>
      </c>
      <c r="J99" s="87">
        <v>0.78038114204853093</v>
      </c>
      <c r="K99" s="87">
        <v>0.75213550732040246</v>
      </c>
      <c r="L99" s="87">
        <v>0.79654551324359024</v>
      </c>
      <c r="M99" s="87">
        <v>0.86180226474568611</v>
      </c>
      <c r="N99" s="87">
        <v>0</v>
      </c>
      <c r="O99" s="88">
        <v>8.065391077312297</v>
      </c>
    </row>
    <row r="100" spans="1:15" s="77" customFormat="1" ht="14.4" x14ac:dyDescent="0.3">
      <c r="A100" s="67"/>
      <c r="B100" s="86" t="s">
        <v>107</v>
      </c>
      <c r="C100" s="87">
        <v>2.9539605139096792</v>
      </c>
      <c r="D100" s="87">
        <v>9.7667479448093231E-2</v>
      </c>
      <c r="E100" s="87">
        <v>0.10398194503914576</v>
      </c>
      <c r="F100" s="87">
        <v>0.22790707503962643</v>
      </c>
      <c r="G100" s="87">
        <v>8.2969405251836492E-2</v>
      </c>
      <c r="H100" s="87">
        <v>0.13277721399258102</v>
      </c>
      <c r="I100" s="87">
        <v>9.3250058046426942E-2</v>
      </c>
      <c r="J100" s="87">
        <v>8.1419780373423498E-2</v>
      </c>
      <c r="K100" s="87">
        <v>0.2002705199175519</v>
      </c>
      <c r="L100" s="87">
        <v>0.66584421852245834</v>
      </c>
      <c r="M100" s="87">
        <v>2.4174155146701124</v>
      </c>
      <c r="N100" s="87">
        <v>0</v>
      </c>
      <c r="O100" s="88">
        <v>7.057463724210935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v>59.895825937091182</v>
      </c>
      <c r="D102" s="96">
        <v>53.886966129994939</v>
      </c>
      <c r="E102" s="96">
        <v>53.407177480544156</v>
      </c>
      <c r="F102" s="96">
        <v>59.787088211188937</v>
      </c>
      <c r="G102" s="96">
        <v>58.083614605923579</v>
      </c>
      <c r="H102" s="96">
        <v>58.298680915529538</v>
      </c>
      <c r="I102" s="96">
        <v>60.960234610357908</v>
      </c>
      <c r="J102" s="96">
        <v>68.202984224384096</v>
      </c>
      <c r="K102" s="96">
        <v>71.390043136531801</v>
      </c>
      <c r="L102" s="96">
        <v>72.70408828277219</v>
      </c>
      <c r="M102" s="96">
        <v>73.175462851170934</v>
      </c>
      <c r="N102" s="96">
        <v>0</v>
      </c>
      <c r="O102" s="96">
        <v>689.79216638548917</v>
      </c>
    </row>
    <row r="103" spans="1:15" s="77" customFormat="1" ht="14.4" x14ac:dyDescent="0.3">
      <c r="A103" s="67"/>
      <c r="B103" s="97" t="s">
        <v>109</v>
      </c>
      <c r="C103" s="98">
        <v>50.780390825051313</v>
      </c>
      <c r="D103" s="98">
        <v>44.13830336535861</v>
      </c>
      <c r="E103" s="98">
        <v>42.934867571931072</v>
      </c>
      <c r="F103" s="98">
        <v>50.231237341698844</v>
      </c>
      <c r="G103" s="98">
        <v>48.142963738408291</v>
      </c>
      <c r="H103" s="98">
        <v>49.714039325487526</v>
      </c>
      <c r="I103" s="98">
        <v>50.892388283228719</v>
      </c>
      <c r="J103" s="98">
        <v>57.014637684280451</v>
      </c>
      <c r="K103" s="98">
        <v>60.925849630861258</v>
      </c>
      <c r="L103" s="98">
        <v>60.449834463549358</v>
      </c>
      <c r="M103" s="98">
        <v>61.674325447807753</v>
      </c>
      <c r="N103" s="98">
        <v>0</v>
      </c>
      <c r="O103" s="98">
        <v>576.89883767766321</v>
      </c>
    </row>
    <row r="104" spans="1:15" s="77" customFormat="1" ht="14.4" x14ac:dyDescent="0.3">
      <c r="A104" s="67"/>
      <c r="B104" s="86" t="s">
        <v>110</v>
      </c>
      <c r="C104" s="87">
        <v>12.938891909502114</v>
      </c>
      <c r="D104" s="87">
        <v>20.470619580908554</v>
      </c>
      <c r="E104" s="87">
        <v>18.521097686524325</v>
      </c>
      <c r="F104" s="87">
        <v>19.876471499038733</v>
      </c>
      <c r="G104" s="87">
        <v>15.75505516575215</v>
      </c>
      <c r="H104" s="87">
        <v>17.577843110038025</v>
      </c>
      <c r="I104" s="87">
        <v>16.195961830041835</v>
      </c>
      <c r="J104" s="87">
        <v>21.860823741509311</v>
      </c>
      <c r="K104" s="87">
        <v>30.408513333923985</v>
      </c>
      <c r="L104" s="87">
        <v>33.589303474302689</v>
      </c>
      <c r="M104" s="87">
        <v>33.312633878684515</v>
      </c>
      <c r="N104" s="87">
        <v>0</v>
      </c>
      <c r="O104" s="88">
        <v>240.50721521022626</v>
      </c>
    </row>
    <row r="105" spans="1:15" s="77" customFormat="1" ht="14.4" x14ac:dyDescent="0.3">
      <c r="A105" s="67"/>
      <c r="B105" s="86" t="s">
        <v>111</v>
      </c>
      <c r="C105" s="87">
        <v>32.964922607454987</v>
      </c>
      <c r="D105" s="87">
        <v>18.30483133817264</v>
      </c>
      <c r="E105" s="87">
        <v>19.361509297675699</v>
      </c>
      <c r="F105" s="87">
        <v>24.89057929103949</v>
      </c>
      <c r="G105" s="87">
        <v>26.945412700370838</v>
      </c>
      <c r="H105" s="87">
        <v>26.806040295777088</v>
      </c>
      <c r="I105" s="87">
        <v>28.871219166794699</v>
      </c>
      <c r="J105" s="87">
        <v>29.522264491066061</v>
      </c>
      <c r="K105" s="87">
        <v>23.255100095998142</v>
      </c>
      <c r="L105" s="87">
        <v>22.1740663768385</v>
      </c>
      <c r="M105" s="87">
        <v>23.376396924287686</v>
      </c>
      <c r="N105" s="87">
        <v>0</v>
      </c>
      <c r="O105" s="88">
        <v>276.47234258547581</v>
      </c>
    </row>
    <row r="106" spans="1:15" s="77" customFormat="1" ht="14.4" x14ac:dyDescent="0.3">
      <c r="A106" s="67"/>
      <c r="B106" s="86" t="s">
        <v>112</v>
      </c>
      <c r="C106" s="87">
        <v>4.7223269423022609</v>
      </c>
      <c r="D106" s="87">
        <v>4.7716320850260701</v>
      </c>
      <c r="E106" s="87">
        <v>4.415441944440551</v>
      </c>
      <c r="F106" s="87">
        <v>4.893164960737435</v>
      </c>
      <c r="G106" s="87">
        <v>5.0963700599694794</v>
      </c>
      <c r="H106" s="87">
        <v>4.8807722296526883</v>
      </c>
      <c r="I106" s="87">
        <v>5.526661549595298</v>
      </c>
      <c r="J106" s="87">
        <v>5.2386798578825164</v>
      </c>
      <c r="K106" s="87">
        <v>5.3192929919376271</v>
      </c>
      <c r="L106" s="87">
        <v>4.607747388340294</v>
      </c>
      <c r="M106" s="87">
        <v>4.9072720756535082</v>
      </c>
      <c r="N106" s="87">
        <v>0</v>
      </c>
      <c r="O106" s="88">
        <v>54.379362085537736</v>
      </c>
    </row>
    <row r="107" spans="1:15" s="77" customFormat="1" ht="14.4" x14ac:dyDescent="0.3">
      <c r="A107" s="67"/>
      <c r="B107" s="86" t="s">
        <v>113</v>
      </c>
      <c r="C107" s="87">
        <v>0.15424936579195225</v>
      </c>
      <c r="D107" s="87">
        <v>0.59122036125134492</v>
      </c>
      <c r="E107" s="87">
        <v>0.63681864329049487</v>
      </c>
      <c r="F107" s="87">
        <v>0.57102159088318694</v>
      </c>
      <c r="G107" s="87">
        <v>0.34612581231582101</v>
      </c>
      <c r="H107" s="87">
        <v>0.44938369001972289</v>
      </c>
      <c r="I107" s="87">
        <v>0.29854573679688751</v>
      </c>
      <c r="J107" s="87">
        <v>0.39286959382256137</v>
      </c>
      <c r="K107" s="87">
        <v>1.942943209001506</v>
      </c>
      <c r="L107" s="87">
        <v>7.8717224067869615E-2</v>
      </c>
      <c r="M107" s="87">
        <v>7.8022569182047294E-2</v>
      </c>
      <c r="N107" s="87">
        <v>0</v>
      </c>
      <c r="O107" s="88">
        <v>5.5399177964233939</v>
      </c>
    </row>
    <row r="108" spans="1:15" s="77" customFormat="1" ht="14.4" outlineLevel="1" x14ac:dyDescent="0.3">
      <c r="A108" s="67"/>
      <c r="B108" s="86" t="s">
        <v>257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v>8.881531273620265</v>
      </c>
      <c r="D110" s="388">
        <v>9.0531304681732543</v>
      </c>
      <c r="E110" s="388">
        <v>9.73503920021016</v>
      </c>
      <c r="F110" s="388">
        <v>8.8951605657682791</v>
      </c>
      <c r="G110" s="388">
        <v>9.5033131959108168</v>
      </c>
      <c r="H110" s="388">
        <v>8.0455513595585906</v>
      </c>
      <c r="I110" s="388">
        <v>9.6797994583950526</v>
      </c>
      <c r="J110" s="388">
        <v>10.710114897149756</v>
      </c>
      <c r="K110" s="388">
        <v>8.4275021195768076</v>
      </c>
      <c r="L110" s="388">
        <v>12.075143921819739</v>
      </c>
      <c r="M110" s="388">
        <v>11.335460090785309</v>
      </c>
      <c r="N110" s="388">
        <v>0</v>
      </c>
      <c r="O110" s="388">
        <v>106.34174655096803</v>
      </c>
    </row>
    <row r="111" spans="1:15" s="77" customFormat="1" ht="14.4" x14ac:dyDescent="0.3">
      <c r="A111" s="67"/>
      <c r="B111" s="86" t="s">
        <v>267</v>
      </c>
      <c r="C111" s="386">
        <v>6.4662066614415199</v>
      </c>
      <c r="D111" s="386">
        <v>6.6046912575799004</v>
      </c>
      <c r="E111" s="386">
        <v>7.4708581681102082</v>
      </c>
      <c r="F111" s="386">
        <v>6.5576362511430402</v>
      </c>
      <c r="G111" s="386">
        <v>7.7072507477789722</v>
      </c>
      <c r="H111" s="386">
        <v>5.7843382838554929</v>
      </c>
      <c r="I111" s="386">
        <v>6.9601572457073626</v>
      </c>
      <c r="J111" s="386">
        <v>8.2879976275414506</v>
      </c>
      <c r="K111" s="386">
        <v>6.4738780761651906</v>
      </c>
      <c r="L111" s="386">
        <v>9.5039332581092673</v>
      </c>
      <c r="M111" s="386">
        <v>9.378114340136527</v>
      </c>
      <c r="N111" s="386">
        <v>0</v>
      </c>
      <c r="O111" s="88">
        <v>81.195061917568921</v>
      </c>
    </row>
    <row r="112" spans="1:15" s="77" customFormat="1" ht="14.4" x14ac:dyDescent="0.3">
      <c r="A112" s="67"/>
      <c r="B112" s="389" t="s">
        <v>115</v>
      </c>
      <c r="C112" s="390">
        <v>2.0752403248351383</v>
      </c>
      <c r="D112" s="390">
        <v>2.8659065559548891</v>
      </c>
      <c r="E112" s="390">
        <v>2.4368253039939569</v>
      </c>
      <c r="F112" s="390">
        <v>2.285604196404333</v>
      </c>
      <c r="G112" s="390">
        <v>2.375516427503797</v>
      </c>
      <c r="H112" s="390">
        <v>2.3457001915071651</v>
      </c>
      <c r="I112" s="390">
        <v>2.6662890152389345</v>
      </c>
      <c r="J112" s="390">
        <v>3.4099627035849744</v>
      </c>
      <c r="K112" s="390">
        <v>2.1582480311492453</v>
      </c>
      <c r="L112" s="390">
        <v>2.8311518718337547</v>
      </c>
      <c r="M112" s="390">
        <v>2.5034554737525032</v>
      </c>
      <c r="N112" s="390">
        <v>0</v>
      </c>
      <c r="O112" s="391">
        <v>27.953900095758687</v>
      </c>
    </row>
    <row r="113" spans="1:15" s="77" customFormat="1" ht="14.4" x14ac:dyDescent="0.3">
      <c r="A113" s="67"/>
      <c r="B113" s="389" t="s">
        <v>116</v>
      </c>
      <c r="C113" s="390">
        <v>3.9833289933088079</v>
      </c>
      <c r="D113" s="390">
        <v>3.167616464764186</v>
      </c>
      <c r="E113" s="390">
        <v>4.4275561232821952</v>
      </c>
      <c r="F113" s="390">
        <v>3.6177797298290355</v>
      </c>
      <c r="G113" s="390">
        <v>4.4138861039215236</v>
      </c>
      <c r="H113" s="390">
        <v>2.7022371987199092</v>
      </c>
      <c r="I113" s="390">
        <v>3.6876140366783465</v>
      </c>
      <c r="J113" s="390">
        <v>4.2455246055467866</v>
      </c>
      <c r="K113" s="390">
        <v>3.4929778210366642</v>
      </c>
      <c r="L113" s="390">
        <v>5.4504386046265259</v>
      </c>
      <c r="M113" s="390">
        <v>5.9065076912422789</v>
      </c>
      <c r="N113" s="390">
        <v>0</v>
      </c>
      <c r="O113" s="391">
        <v>45.095467372956264</v>
      </c>
    </row>
    <row r="114" spans="1:15" s="77" customFormat="1" ht="14.4" x14ac:dyDescent="0.3">
      <c r="A114" s="67"/>
      <c r="B114" s="389" t="s">
        <v>117</v>
      </c>
      <c r="C114" s="390">
        <v>0.33460777631996436</v>
      </c>
      <c r="D114" s="390">
        <v>0.35109575863042375</v>
      </c>
      <c r="E114" s="390">
        <v>0.34301287444431677</v>
      </c>
      <c r="F114" s="390">
        <v>0.40489047332148204</v>
      </c>
      <c r="G114" s="390">
        <v>0.32987641251187133</v>
      </c>
      <c r="H114" s="390">
        <v>0.37522959065781142</v>
      </c>
      <c r="I114" s="390">
        <v>0.29592149518494432</v>
      </c>
      <c r="J114" s="390">
        <v>0.33003586139113655</v>
      </c>
      <c r="K114" s="390">
        <v>0.35325534364594158</v>
      </c>
      <c r="L114" s="390">
        <v>0.42088995047253697</v>
      </c>
      <c r="M114" s="390">
        <v>0.49470433097796956</v>
      </c>
      <c r="N114" s="390">
        <v>0</v>
      </c>
      <c r="O114" s="391">
        <v>4.0335198675583994</v>
      </c>
    </row>
    <row r="115" spans="1:15" s="77" customFormat="1" ht="14.4" x14ac:dyDescent="0.3">
      <c r="A115" s="67"/>
      <c r="B115" s="389" t="s">
        <v>120</v>
      </c>
      <c r="C115" s="390">
        <v>7.3029566977609706E-2</v>
      </c>
      <c r="D115" s="390">
        <v>0.22007247823040166</v>
      </c>
      <c r="E115" s="390">
        <v>0.26346386638973884</v>
      </c>
      <c r="F115" s="390">
        <v>0.24936185158818838</v>
      </c>
      <c r="G115" s="390">
        <v>0.58797180384177994</v>
      </c>
      <c r="H115" s="390">
        <v>0.36117130297060673</v>
      </c>
      <c r="I115" s="390">
        <v>0.31033269860513746</v>
      </c>
      <c r="J115" s="390">
        <v>0.30247445701855347</v>
      </c>
      <c r="K115" s="390">
        <v>0.46939688033333921</v>
      </c>
      <c r="L115" s="390">
        <v>0.80145283117644972</v>
      </c>
      <c r="M115" s="390">
        <v>0.47344684416377536</v>
      </c>
      <c r="N115" s="390">
        <v>0</v>
      </c>
      <c r="O115" s="391">
        <v>4.1121745812955801</v>
      </c>
    </row>
    <row r="116" spans="1:15" s="77" customFormat="1" ht="14.4" x14ac:dyDescent="0.3">
      <c r="A116" s="67"/>
      <c r="B116" s="86" t="s">
        <v>268</v>
      </c>
      <c r="C116" s="386">
        <v>2.4153246121787451</v>
      </c>
      <c r="D116" s="386">
        <v>2.4484392105933543</v>
      </c>
      <c r="E116" s="386">
        <v>2.2641810320999518</v>
      </c>
      <c r="F116" s="386">
        <v>2.3375243146252398</v>
      </c>
      <c r="G116" s="386">
        <v>1.7960624481318452</v>
      </c>
      <c r="H116" s="386">
        <v>2.2612130757030973</v>
      </c>
      <c r="I116" s="386">
        <v>2.7196422126876891</v>
      </c>
      <c r="J116" s="386">
        <v>2.422117269608306</v>
      </c>
      <c r="K116" s="386">
        <v>1.9536240434116177</v>
      </c>
      <c r="L116" s="386">
        <v>2.5712106637104726</v>
      </c>
      <c r="M116" s="386">
        <v>1.9573457506487828</v>
      </c>
      <c r="N116" s="386">
        <v>0</v>
      </c>
      <c r="O116" s="88">
        <v>25.146684633399108</v>
      </c>
    </row>
    <row r="117" spans="1:15" s="77" customFormat="1" ht="14.4" x14ac:dyDescent="0.3">
      <c r="A117" s="67"/>
      <c r="B117" s="389" t="s">
        <v>118</v>
      </c>
      <c r="C117" s="390">
        <v>0.30150695737181965</v>
      </c>
      <c r="D117" s="390">
        <v>0.30296213681304301</v>
      </c>
      <c r="E117" s="390">
        <v>0.30785495859137574</v>
      </c>
      <c r="F117" s="390">
        <v>0.30921701943201424</v>
      </c>
      <c r="G117" s="390">
        <v>0.22064303238616559</v>
      </c>
      <c r="H117" s="390">
        <v>0.35027390233484701</v>
      </c>
      <c r="I117" s="390">
        <v>0.25294032775248443</v>
      </c>
      <c r="J117" s="390">
        <v>0.34605374220298918</v>
      </c>
      <c r="K117" s="390">
        <v>0.22896486425060344</v>
      </c>
      <c r="L117" s="390">
        <v>0.27972402303142047</v>
      </c>
      <c r="M117" s="390">
        <v>0.33230243558009642</v>
      </c>
      <c r="N117" s="390">
        <v>0</v>
      </c>
      <c r="O117" s="391">
        <v>3.2324433997468596</v>
      </c>
    </row>
    <row r="118" spans="1:15" s="77" customFormat="1" ht="14.4" x14ac:dyDescent="0.3">
      <c r="A118" s="67"/>
      <c r="B118" s="389" t="s">
        <v>119</v>
      </c>
      <c r="C118" s="390">
        <v>2.1138176548069256</v>
      </c>
      <c r="D118" s="390">
        <v>2.1454770737803113</v>
      </c>
      <c r="E118" s="390">
        <v>1.9563260735085759</v>
      </c>
      <c r="F118" s="390">
        <v>2.0283072951932257</v>
      </c>
      <c r="G118" s="390">
        <v>1.5754194157456796</v>
      </c>
      <c r="H118" s="390">
        <v>1.9109391733682504</v>
      </c>
      <c r="I118" s="390">
        <v>2.4667018849352047</v>
      </c>
      <c r="J118" s="390">
        <v>2.0760635274053167</v>
      </c>
      <c r="K118" s="390">
        <v>1.7246591791610142</v>
      </c>
      <c r="L118" s="390">
        <v>2.2914866406790519</v>
      </c>
      <c r="M118" s="390">
        <v>1.6250433150686865</v>
      </c>
      <c r="N118" s="390">
        <v>0</v>
      </c>
      <c r="O118" s="391">
        <v>21.914241233652248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v>0.23390383841960166</v>
      </c>
      <c r="D120" s="102">
        <v>0.6955322964630748</v>
      </c>
      <c r="E120" s="102">
        <v>0.73727070840292397</v>
      </c>
      <c r="F120" s="102">
        <v>0.66069030372181681</v>
      </c>
      <c r="G120" s="102">
        <v>0.43733767160447129</v>
      </c>
      <c r="H120" s="102">
        <v>0.53909023048341675</v>
      </c>
      <c r="I120" s="102">
        <v>0.38804686873413557</v>
      </c>
      <c r="J120" s="102">
        <v>0.47823164295388088</v>
      </c>
      <c r="K120" s="102">
        <v>2.0366913860937395</v>
      </c>
      <c r="L120" s="102">
        <v>0.17910989740309766</v>
      </c>
      <c r="M120" s="102">
        <v>0.16567731257786411</v>
      </c>
      <c r="N120" s="102">
        <v>0</v>
      </c>
      <c r="O120" s="102">
        <v>6.5515821568580233</v>
      </c>
    </row>
    <row r="121" spans="1:15" s="77" customFormat="1" ht="14.4" x14ac:dyDescent="0.3">
      <c r="A121" s="67"/>
      <c r="B121" s="86" t="s">
        <v>73</v>
      </c>
      <c r="C121" s="103">
        <v>0.23390383841960166</v>
      </c>
      <c r="D121" s="103">
        <v>0.6955322964630748</v>
      </c>
      <c r="E121" s="103">
        <v>0.73727070840292397</v>
      </c>
      <c r="F121" s="103">
        <v>0.66069030372181681</v>
      </c>
      <c r="G121" s="103">
        <v>0.43733767160447129</v>
      </c>
      <c r="H121" s="103">
        <v>0.53909023048341675</v>
      </c>
      <c r="I121" s="103">
        <v>0.38804686873413557</v>
      </c>
      <c r="J121" s="103">
        <v>0.47823164295388088</v>
      </c>
      <c r="K121" s="103">
        <v>2.0366913860937395</v>
      </c>
      <c r="L121" s="103">
        <v>0.17910989740309766</v>
      </c>
      <c r="M121" s="103">
        <v>0.16567731257786411</v>
      </c>
      <c r="N121" s="103">
        <v>0</v>
      </c>
      <c r="O121" s="103">
        <v>6.5515821568580233</v>
      </c>
    </row>
    <row r="122" spans="1:15" s="77" customFormat="1" ht="14.4" outlineLevel="1" x14ac:dyDescent="0.3">
      <c r="A122" s="67"/>
      <c r="B122" s="89" t="s">
        <v>122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123</v>
      </c>
      <c r="C123" s="99">
        <v>0.23390383841960166</v>
      </c>
      <c r="D123" s="103">
        <v>0.6955322964630748</v>
      </c>
      <c r="E123" s="103">
        <v>0.73727070840292397</v>
      </c>
      <c r="F123" s="103">
        <v>0.66069030372181681</v>
      </c>
      <c r="G123" s="103">
        <v>0.43733767160447129</v>
      </c>
      <c r="H123" s="103">
        <v>0.53909023048341675</v>
      </c>
      <c r="I123" s="103">
        <v>0.38804686873413557</v>
      </c>
      <c r="J123" s="103">
        <v>0.47823164295388088</v>
      </c>
      <c r="K123" s="103">
        <v>2.0366913860937395</v>
      </c>
      <c r="L123" s="103">
        <v>0.17910989740309766</v>
      </c>
      <c r="M123" s="103">
        <v>0.16567731257786411</v>
      </c>
      <c r="N123" s="103">
        <v>0</v>
      </c>
      <c r="O123" s="99">
        <v>6.5515821568580233</v>
      </c>
    </row>
    <row r="124" spans="1:15" s="77" customFormat="1" ht="14.4" outlineLevel="1" x14ac:dyDescent="0.3">
      <c r="A124" s="67"/>
      <c r="B124" s="89" t="s">
        <v>124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v>-17.927790200928506</v>
      </c>
      <c r="D126" s="107">
        <v>-8.8682361644057437</v>
      </c>
      <c r="E126" s="107">
        <v>-4.7890487573717024</v>
      </c>
      <c r="F126" s="107">
        <v>-13.415142051264198</v>
      </c>
      <c r="G126" s="107">
        <v>-8.6866250958986413</v>
      </c>
      <c r="H126" s="107">
        <v>-7.8812271493681365</v>
      </c>
      <c r="I126" s="107">
        <v>-6.3761599296379785</v>
      </c>
      <c r="J126" s="107">
        <v>-11.644821061080357</v>
      </c>
      <c r="K126" s="107">
        <v>-13.710805552024659</v>
      </c>
      <c r="L126" s="107">
        <v>-10.65997968198554</v>
      </c>
      <c r="M126" s="107">
        <v>-15.33308885010473</v>
      </c>
      <c r="N126" s="107">
        <v>0</v>
      </c>
      <c r="O126" s="107">
        <v>-119.29292449407023</v>
      </c>
    </row>
    <row r="127" spans="1:15" s="77" customFormat="1" ht="14.4" x14ac:dyDescent="0.3">
      <c r="A127" s="67"/>
      <c r="B127" s="106" t="s">
        <v>126</v>
      </c>
      <c r="C127" s="107">
        <v>-23.462602774584603</v>
      </c>
      <c r="D127" s="107">
        <v>-17.807521364184801</v>
      </c>
      <c r="E127" s="107">
        <v>-14.440663596204551</v>
      </c>
      <c r="F127" s="107">
        <v>-22.038032761375007</v>
      </c>
      <c r="G127" s="107">
        <v>-17.78595301622579</v>
      </c>
      <c r="H127" s="107">
        <v>-15.666173462300748</v>
      </c>
      <c r="I127" s="107">
        <v>-15.661639472783797</v>
      </c>
      <c r="J127" s="107">
        <v>-21.971366678762045</v>
      </c>
      <c r="K127" s="107">
        <v>-23.222593030457247</v>
      </c>
      <c r="L127" s="107">
        <v>-21.45184376944232</v>
      </c>
      <c r="M127" s="107">
        <v>-23.555008474052116</v>
      </c>
      <c r="N127" s="107">
        <v>0</v>
      </c>
      <c r="O127" s="107">
        <v>-217.06339840037299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v>3.5305524160011319</v>
      </c>
      <c r="D129" s="96">
        <v>1.8955239134898996</v>
      </c>
      <c r="E129" s="96">
        <v>3.0711809999671722</v>
      </c>
      <c r="F129" s="96">
        <v>2.7620280013931735</v>
      </c>
      <c r="G129" s="96">
        <v>3.9235111408426873</v>
      </c>
      <c r="H129" s="96">
        <v>3.6602652683259875</v>
      </c>
      <c r="I129" s="96">
        <v>4.9473428504957031</v>
      </c>
      <c r="J129" s="96">
        <v>2.8619606534605597</v>
      </c>
      <c r="K129" s="96">
        <v>5.2191784159223502</v>
      </c>
      <c r="L129" s="96">
        <v>3.6485590404183736</v>
      </c>
      <c r="M129" s="96">
        <v>9.5811254765899392</v>
      </c>
      <c r="N129" s="96">
        <v>0</v>
      </c>
      <c r="O129" s="96">
        <v>45.101228176906972</v>
      </c>
    </row>
    <row r="130" spans="1:15" s="77" customFormat="1" ht="14.4" x14ac:dyDescent="0.3">
      <c r="A130" s="67"/>
      <c r="B130" s="86" t="s">
        <v>128</v>
      </c>
      <c r="C130" s="103">
        <v>2.4418253026677985</v>
      </c>
      <c r="D130" s="103">
        <v>1.6672100301565662</v>
      </c>
      <c r="E130" s="103">
        <v>2.2555807699671724</v>
      </c>
      <c r="F130" s="103">
        <v>2.1345325247265068</v>
      </c>
      <c r="G130" s="103">
        <v>3.5282493741760206</v>
      </c>
      <c r="H130" s="103">
        <v>2.8127174516593207</v>
      </c>
      <c r="I130" s="103">
        <v>3.4853184138290358</v>
      </c>
      <c r="J130" s="103">
        <v>2.7425127867938932</v>
      </c>
      <c r="K130" s="103">
        <v>3.3305589525890165</v>
      </c>
      <c r="L130" s="103">
        <v>3.5931620004183737</v>
      </c>
      <c r="M130" s="103">
        <v>3.5329830532566078</v>
      </c>
      <c r="N130" s="103">
        <v>0</v>
      </c>
      <c r="O130" s="88">
        <v>31.524650660240308</v>
      </c>
    </row>
    <row r="131" spans="1:15" s="77" customFormat="1" ht="14.4" x14ac:dyDescent="0.3">
      <c r="A131" s="67"/>
      <c r="B131" s="86" t="s">
        <v>129</v>
      </c>
      <c r="C131" s="103">
        <v>1.0887271133333334</v>
      </c>
      <c r="D131" s="103">
        <v>0.22831388333333336</v>
      </c>
      <c r="E131" s="103">
        <v>0.8156002299999997</v>
      </c>
      <c r="F131" s="103">
        <v>0.6274954766666665</v>
      </c>
      <c r="G131" s="103">
        <v>0.39526176666666663</v>
      </c>
      <c r="H131" s="103">
        <v>0.84754781666666679</v>
      </c>
      <c r="I131" s="103">
        <v>1.4620244366666668</v>
      </c>
      <c r="J131" s="103">
        <v>0.11944786666666667</v>
      </c>
      <c r="K131" s="103">
        <v>1.8886194633333335</v>
      </c>
      <c r="L131" s="103">
        <v>5.5397040000000002E-2</v>
      </c>
      <c r="M131" s="103">
        <v>6.0481424233333314</v>
      </c>
      <c r="N131" s="103">
        <v>0</v>
      </c>
      <c r="O131" s="88">
        <v>13.576577516666665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v>-26.993155190585735</v>
      </c>
      <c r="D133" s="107">
        <v>-19.7030452776747</v>
      </c>
      <c r="E133" s="107">
        <v>-17.511844596171724</v>
      </c>
      <c r="F133" s="107">
        <v>-24.80006076276818</v>
      </c>
      <c r="G133" s="107">
        <v>-21.709464157068478</v>
      </c>
      <c r="H133" s="107">
        <v>-19.326438730626734</v>
      </c>
      <c r="I133" s="107">
        <v>-20.608982323279498</v>
      </c>
      <c r="J133" s="107">
        <v>-24.833327332222606</v>
      </c>
      <c r="K133" s="107">
        <v>-28.441771446379597</v>
      </c>
      <c r="L133" s="107">
        <v>-25.100402809860693</v>
      </c>
      <c r="M133" s="107">
        <v>-33.136133950642055</v>
      </c>
      <c r="N133" s="107">
        <v>0</v>
      </c>
      <c r="O133" s="107">
        <v>-262.16462657727993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v>54.98376767658349</v>
      </c>
      <c r="D135" s="112">
        <v>-0.82329080770846752</v>
      </c>
      <c r="E135" s="112">
        <v>-47.460751456163877</v>
      </c>
      <c r="F135" s="112">
        <v>86.76069610166131</v>
      </c>
      <c r="G135" s="112">
        <v>-0.7152081102493808</v>
      </c>
      <c r="H135" s="112">
        <v>51.57910653408846</v>
      </c>
      <c r="I135" s="112">
        <v>13.280267945209104</v>
      </c>
      <c r="J135" s="112">
        <v>79.993248897205262</v>
      </c>
      <c r="K135" s="112">
        <v>47.0948824319916</v>
      </c>
      <c r="L135" s="112">
        <v>-35.259523395905916</v>
      </c>
      <c r="M135" s="112">
        <v>25.651806463513314</v>
      </c>
      <c r="N135" s="112">
        <v>0</v>
      </c>
      <c r="O135" s="112">
        <v>275.0850022802249</v>
      </c>
    </row>
    <row r="136" spans="1:15" s="77" customFormat="1" ht="14.4" x14ac:dyDescent="0.3">
      <c r="A136" s="67"/>
      <c r="B136" s="86" t="s">
        <v>132</v>
      </c>
      <c r="C136" s="103">
        <v>11.734624999999999</v>
      </c>
      <c r="D136" s="103">
        <v>11.734624999999999</v>
      </c>
      <c r="E136" s="103">
        <v>11.734624999999999</v>
      </c>
      <c r="F136" s="103">
        <v>11.734628000000001</v>
      </c>
      <c r="G136" s="103">
        <v>11.735315720000001</v>
      </c>
      <c r="H136" s="103">
        <v>11.734628000000001</v>
      </c>
      <c r="I136" s="103">
        <v>11.734628000000001</v>
      </c>
      <c r="J136" s="103">
        <v>18.264683999999999</v>
      </c>
      <c r="K136" s="103">
        <v>31.338908</v>
      </c>
      <c r="L136" s="103">
        <v>31.338908</v>
      </c>
      <c r="M136" s="103">
        <v>31.338908</v>
      </c>
      <c r="N136" s="103">
        <v>0</v>
      </c>
      <c r="O136" s="104">
        <v>194.42448272000001</v>
      </c>
    </row>
    <row r="137" spans="1:15" s="77" customFormat="1" ht="14.4" x14ac:dyDescent="0.3">
      <c r="A137" s="67"/>
      <c r="B137" s="86" t="s">
        <v>133</v>
      </c>
      <c r="C137" s="103">
        <v>11.734624999999999</v>
      </c>
      <c r="D137" s="103">
        <v>11.734624999999999</v>
      </c>
      <c r="E137" s="103">
        <v>11.734624999999999</v>
      </c>
      <c r="F137" s="103">
        <v>11.734628000000001</v>
      </c>
      <c r="G137" s="103">
        <v>11.735315720000001</v>
      </c>
      <c r="H137" s="103">
        <v>11.734628000000001</v>
      </c>
      <c r="I137" s="103">
        <v>11.734628000000001</v>
      </c>
      <c r="J137" s="103">
        <v>18.264683999999999</v>
      </c>
      <c r="K137" s="103">
        <v>31.338908</v>
      </c>
      <c r="L137" s="103">
        <v>31.338908</v>
      </c>
      <c r="M137" s="103">
        <v>31.338908</v>
      </c>
      <c r="N137" s="103">
        <v>0</v>
      </c>
      <c r="O137" s="104">
        <v>194.42448272000001</v>
      </c>
    </row>
    <row r="138" spans="1:15" s="77" customFormat="1" ht="14.4" outlineLevel="1" x14ac:dyDescent="0.3">
      <c r="A138" s="67"/>
      <c r="B138" s="113" t="s">
        <v>262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134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137</v>
      </c>
      <c r="C142" s="103">
        <v>3.3429206385276728</v>
      </c>
      <c r="D142" s="103">
        <v>-13.152297158059966</v>
      </c>
      <c r="E142" s="103">
        <v>-20.274818671929427</v>
      </c>
      <c r="F142" s="103">
        <v>24.256232244780836</v>
      </c>
      <c r="G142" s="103">
        <v>-22.951607417381116</v>
      </c>
      <c r="H142" s="103">
        <v>26.792016267277621</v>
      </c>
      <c r="I142" s="103">
        <v>-26.620339003931903</v>
      </c>
      <c r="J142" s="103">
        <v>31.371989495489132</v>
      </c>
      <c r="K142" s="103">
        <v>-20.577833356211919</v>
      </c>
      <c r="L142" s="103">
        <v>3.1170439954897518</v>
      </c>
      <c r="M142" s="103">
        <v>-4.9205960163584628</v>
      </c>
      <c r="N142" s="103">
        <v>0</v>
      </c>
      <c r="O142" s="104">
        <v>-19.61728898230778</v>
      </c>
    </row>
    <row r="143" spans="1:15" s="77" customFormat="1" ht="14.4" x14ac:dyDescent="0.3">
      <c r="A143" s="67"/>
      <c r="B143" s="115" t="s">
        <v>138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139</v>
      </c>
      <c r="C144" s="116">
        <v>3.3429206385276728</v>
      </c>
      <c r="D144" s="116">
        <v>-13.152297158059966</v>
      </c>
      <c r="E144" s="116">
        <v>-20.274818671929427</v>
      </c>
      <c r="F144" s="116">
        <v>24.256232244780836</v>
      </c>
      <c r="G144" s="116">
        <v>-22.951607417381116</v>
      </c>
      <c r="H144" s="116">
        <v>26.792016267277621</v>
      </c>
      <c r="I144" s="116">
        <v>-26.620339003931903</v>
      </c>
      <c r="J144" s="116">
        <v>31.371989495489132</v>
      </c>
      <c r="K144" s="116">
        <v>-20.577833356211919</v>
      </c>
      <c r="L144" s="116">
        <v>3.1170439954897518</v>
      </c>
      <c r="M144" s="116">
        <v>-4.9205960163584628</v>
      </c>
      <c r="N144" s="116">
        <v>0</v>
      </c>
      <c r="O144" s="266">
        <v>-19.61728898230778</v>
      </c>
    </row>
    <row r="145" spans="1:18" s="77" customFormat="1" ht="14.4" x14ac:dyDescent="0.3">
      <c r="A145" s="67"/>
      <c r="B145" s="114" t="s">
        <v>140</v>
      </c>
      <c r="C145" s="103">
        <v>38.817494924722482</v>
      </c>
      <c r="D145" s="103">
        <v>0.36606746701816562</v>
      </c>
      <c r="E145" s="103">
        <v>-39.736158014234448</v>
      </c>
      <c r="F145" s="103">
        <v>50.14234038021381</v>
      </c>
      <c r="G145" s="103">
        <v>10.105821820465067</v>
      </c>
      <c r="H145" s="103">
        <v>12.204914450144171</v>
      </c>
      <c r="I145" s="103">
        <v>26.70395451247434</v>
      </c>
      <c r="J145" s="103">
        <v>30.237127535049467</v>
      </c>
      <c r="K145" s="103">
        <v>34.44518832487018</v>
      </c>
      <c r="L145" s="103">
        <v>-69.770872431395674</v>
      </c>
      <c r="M145" s="103">
        <v>-6.814647943461555</v>
      </c>
      <c r="N145" s="103">
        <v>0</v>
      </c>
      <c r="O145" s="104">
        <v>86.701231025866008</v>
      </c>
    </row>
    <row r="146" spans="1:18" s="77" customFormat="1" ht="14.4" x14ac:dyDescent="0.3">
      <c r="A146" s="67"/>
      <c r="B146" s="115" t="s">
        <v>141</v>
      </c>
      <c r="C146" s="116">
        <v>11.791814492291111</v>
      </c>
      <c r="D146" s="116">
        <v>-11.852096882561685</v>
      </c>
      <c r="E146" s="116">
        <v>-0.49236527504284577</v>
      </c>
      <c r="F146" s="116">
        <v>0.73606613748731231</v>
      </c>
      <c r="G146" s="116">
        <v>0.43339841424307579</v>
      </c>
      <c r="H146" s="116">
        <v>0.69587812000000149</v>
      </c>
      <c r="I146" s="116">
        <v>1.5563999999997691E-2</v>
      </c>
      <c r="J146" s="116">
        <v>5.6054255600000005</v>
      </c>
      <c r="K146" s="116">
        <v>3.42113464</v>
      </c>
      <c r="L146" s="116">
        <v>11.346187240000003</v>
      </c>
      <c r="M146" s="116">
        <v>-0.20618724000000199</v>
      </c>
      <c r="N146" s="116">
        <v>0</v>
      </c>
      <c r="O146" s="266">
        <v>21.494819206416967</v>
      </c>
    </row>
    <row r="147" spans="1:18" s="77" customFormat="1" ht="14.4" x14ac:dyDescent="0.3">
      <c r="A147" s="67"/>
      <c r="B147" s="115" t="s">
        <v>262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142</v>
      </c>
      <c r="C149" s="116">
        <v>27.025680432431368</v>
      </c>
      <c r="D149" s="116">
        <v>12.218164349579851</v>
      </c>
      <c r="E149" s="116">
        <v>-39.243792739191605</v>
      </c>
      <c r="F149" s="116">
        <v>49.406274242726496</v>
      </c>
      <c r="G149" s="116">
        <v>9.6724234062219914</v>
      </c>
      <c r="H149" s="116">
        <v>11.50903633014417</v>
      </c>
      <c r="I149" s="116">
        <v>26.688390512474342</v>
      </c>
      <c r="J149" s="116">
        <v>24.631701975049467</v>
      </c>
      <c r="K149" s="116">
        <v>31.024053684870182</v>
      </c>
      <c r="L149" s="116">
        <v>-81.11705967139568</v>
      </c>
      <c r="M149" s="116">
        <v>-6.608460703461553</v>
      </c>
      <c r="N149" s="116">
        <v>0</v>
      </c>
      <c r="O149" s="266">
        <v>65.206411819449045</v>
      </c>
    </row>
    <row r="150" spans="1:18" s="77" customFormat="1" ht="14.4" x14ac:dyDescent="0.3">
      <c r="A150" s="67"/>
      <c r="B150" s="115" t="s">
        <v>143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144</v>
      </c>
      <c r="C151" s="103">
        <v>1.0887271133333334</v>
      </c>
      <c r="D151" s="103">
        <v>0.22831388333333336</v>
      </c>
      <c r="E151" s="103">
        <v>0.8156002299999997</v>
      </c>
      <c r="F151" s="103">
        <v>0.6274954766666665</v>
      </c>
      <c r="G151" s="103">
        <v>0.39526176666666663</v>
      </c>
      <c r="H151" s="103">
        <v>0.84754781666666679</v>
      </c>
      <c r="I151" s="103">
        <v>1.4620244366666668</v>
      </c>
      <c r="J151" s="103">
        <v>0.11944786666666667</v>
      </c>
      <c r="K151" s="103">
        <v>1.8886194633333335</v>
      </c>
      <c r="L151" s="103">
        <v>5.5397040000000002E-2</v>
      </c>
      <c r="M151" s="103">
        <v>6.0481424233333314</v>
      </c>
      <c r="N151" s="103">
        <v>0</v>
      </c>
      <c r="O151" s="104">
        <v>13.576577516666665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v>27.990612485997755</v>
      </c>
      <c r="D153" s="119">
        <v>-20.526336085383168</v>
      </c>
      <c r="E153" s="119">
        <v>-64.972596052335604</v>
      </c>
      <c r="F153" s="119">
        <v>61.960635338893127</v>
      </c>
      <c r="G153" s="119">
        <v>-22.42467226731786</v>
      </c>
      <c r="H153" s="119">
        <v>32.252667803461726</v>
      </c>
      <c r="I153" s="119">
        <v>-7.3287143780703943</v>
      </c>
      <c r="J153" s="119">
        <v>55.159921564982653</v>
      </c>
      <c r="K153" s="119">
        <v>18.653110985612003</v>
      </c>
      <c r="L153" s="119">
        <v>-60.359926205766612</v>
      </c>
      <c r="M153" s="119">
        <v>-7.4843274871287413</v>
      </c>
      <c r="N153" s="119">
        <v>0</v>
      </c>
      <c r="O153" s="119">
        <v>12.920375702944966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491" t="s">
        <v>375</v>
      </c>
      <c r="C155" s="491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</row>
    <row r="156" spans="1:18" s="77" customFormat="1" ht="14.4" x14ac:dyDescent="0.3">
      <c r="A156" s="67"/>
      <c r="B156" s="491" t="s">
        <v>371</v>
      </c>
      <c r="C156" s="491"/>
      <c r="D156" s="491"/>
      <c r="E156" s="491"/>
      <c r="F156" s="491"/>
      <c r="G156" s="491"/>
      <c r="H156" s="491"/>
      <c r="I156" s="491"/>
      <c r="J156" s="491"/>
      <c r="K156" s="491"/>
      <c r="L156" s="491"/>
      <c r="M156" s="491"/>
      <c r="N156" s="491"/>
      <c r="O156" s="491"/>
    </row>
    <row r="157" spans="1:18" s="77" customFormat="1" ht="14.4" x14ac:dyDescent="0.3">
      <c r="A157" s="67"/>
      <c r="B157" s="492" t="s">
        <v>95</v>
      </c>
      <c r="C157" s="492"/>
      <c r="D157" s="492"/>
      <c r="E157" s="492"/>
      <c r="F157" s="492"/>
      <c r="G157" s="492"/>
      <c r="H157" s="492"/>
      <c r="I157" s="492"/>
      <c r="J157" s="492"/>
      <c r="K157" s="492"/>
      <c r="L157" s="492"/>
      <c r="M157" s="492"/>
      <c r="N157" s="492"/>
      <c r="O157" s="492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493" t="s">
        <v>96</v>
      </c>
      <c r="C159" s="500" t="s">
        <v>372</v>
      </c>
      <c r="D159" s="501"/>
      <c r="E159" s="501"/>
      <c r="F159" s="501"/>
      <c r="G159" s="501"/>
      <c r="H159" s="501"/>
      <c r="I159" s="501"/>
      <c r="J159" s="501"/>
      <c r="K159" s="501"/>
      <c r="L159" s="501"/>
      <c r="M159" s="501"/>
      <c r="N159" s="502"/>
      <c r="O159" s="498" t="s">
        <v>373</v>
      </c>
    </row>
    <row r="160" spans="1:18" s="77" customFormat="1" ht="14.4" x14ac:dyDescent="0.3">
      <c r="A160" s="67"/>
      <c r="B160" s="494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499"/>
    </row>
    <row r="161" spans="1:15" s="77" customFormat="1" ht="14.4" x14ac:dyDescent="0.3">
      <c r="A161" s="67"/>
      <c r="B161" s="80" t="s">
        <v>97</v>
      </c>
      <c r="C161" s="81">
        <v>40.549766718120509</v>
      </c>
      <c r="D161" s="81">
        <v>43.247119667205311</v>
      </c>
      <c r="E161" s="81">
        <v>49.034708066938464</v>
      </c>
      <c r="F161" s="81">
        <v>46.720730532670139</v>
      </c>
      <c r="G161" s="81">
        <v>50.044398075174406</v>
      </c>
      <c r="H161" s="81">
        <v>50.718576167630786</v>
      </c>
      <c r="I161" s="81">
        <v>54.246816626859975</v>
      </c>
      <c r="J161" s="81">
        <v>54.758583638432853</v>
      </c>
      <c r="K161" s="81">
        <v>55.078317464193404</v>
      </c>
      <c r="L161" s="81">
        <v>57.438400644621481</v>
      </c>
      <c r="M161" s="81">
        <v>58.207990763836456</v>
      </c>
      <c r="N161" s="81">
        <v>0</v>
      </c>
      <c r="O161" s="81">
        <v>560.04540836568378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v>39.983413821102168</v>
      </c>
      <c r="D163" s="85">
        <v>42.473617625069309</v>
      </c>
      <c r="E163" s="85">
        <v>48.311065632062622</v>
      </c>
      <c r="F163" s="85">
        <v>46.022402297867075</v>
      </c>
      <c r="G163" s="85">
        <v>48.328240911905112</v>
      </c>
      <c r="H163" s="85">
        <v>50.094607728209418</v>
      </c>
      <c r="I163" s="85">
        <v>53.619997274792681</v>
      </c>
      <c r="J163" s="85">
        <v>53.970197415881287</v>
      </c>
      <c r="K163" s="85">
        <v>54.463212641522112</v>
      </c>
      <c r="L163" s="85">
        <v>56.787505045293173</v>
      </c>
      <c r="M163" s="85">
        <v>57.593003629305699</v>
      </c>
      <c r="N163" s="85">
        <v>0</v>
      </c>
      <c r="O163" s="85">
        <v>551.64726402301062</v>
      </c>
    </row>
    <row r="164" spans="1:15" s="77" customFormat="1" ht="14.4" x14ac:dyDescent="0.3">
      <c r="A164" s="67"/>
      <c r="B164" s="86" t="s">
        <v>99</v>
      </c>
      <c r="C164" s="87">
        <v>5.7717356172982415</v>
      </c>
      <c r="D164" s="87">
        <v>6.0762055211302526</v>
      </c>
      <c r="E164" s="87">
        <v>6.4950162275159338</v>
      </c>
      <c r="F164" s="87">
        <v>5.9383805522229887</v>
      </c>
      <c r="G164" s="87">
        <v>6.3676640973688743</v>
      </c>
      <c r="H164" s="87">
        <v>6.3111479223048086</v>
      </c>
      <c r="I164" s="87">
        <v>5.0860701585436638</v>
      </c>
      <c r="J164" s="87">
        <v>6.6360759564820464</v>
      </c>
      <c r="K164" s="87">
        <v>6.6352083170950875</v>
      </c>
      <c r="L164" s="87">
        <v>7.5128773633482595</v>
      </c>
      <c r="M164" s="87">
        <v>7.4923524190079229</v>
      </c>
      <c r="N164" s="87">
        <v>0</v>
      </c>
      <c r="O164" s="88">
        <v>70.322734152318077</v>
      </c>
    </row>
    <row r="165" spans="1:15" s="77" customFormat="1" ht="14.4" x14ac:dyDescent="0.3">
      <c r="A165" s="67"/>
      <c r="B165" s="86" t="s">
        <v>100</v>
      </c>
      <c r="C165" s="87">
        <v>-3.6731067719722494E-5</v>
      </c>
      <c r="D165" s="87">
        <v>3.9460854434323411</v>
      </c>
      <c r="E165" s="87">
        <v>4.1885549366599468</v>
      </c>
      <c r="F165" s="87">
        <v>4.3987761768234508</v>
      </c>
      <c r="G165" s="87">
        <v>4.6300953952047887</v>
      </c>
      <c r="H165" s="87">
        <v>5.4745128147001845</v>
      </c>
      <c r="I165" s="87">
        <v>2.2361439750610188</v>
      </c>
      <c r="J165" s="87">
        <v>1.5271445054259241</v>
      </c>
      <c r="K165" s="87">
        <v>1.5358305845768954</v>
      </c>
      <c r="L165" s="87">
        <v>1.5067924962089108</v>
      </c>
      <c r="M165" s="87">
        <v>1.6332308679585912E-2</v>
      </c>
      <c r="N165" s="87">
        <v>0</v>
      </c>
      <c r="O165" s="88">
        <v>29.460231905705324</v>
      </c>
    </row>
    <row r="166" spans="1:15" s="77" customFormat="1" ht="14.4" x14ac:dyDescent="0.3">
      <c r="A166" s="67"/>
      <c r="B166" s="86" t="s">
        <v>101</v>
      </c>
      <c r="C166" s="87">
        <v>1.346775707682677</v>
      </c>
      <c r="D166" s="87">
        <v>1.4373338087467808</v>
      </c>
      <c r="E166" s="87">
        <v>1.4724968011446116</v>
      </c>
      <c r="F166" s="87">
        <v>1.4180647267345621</v>
      </c>
      <c r="G166" s="87">
        <v>1.4191816748880999</v>
      </c>
      <c r="H166" s="87">
        <v>1.5268802801886374</v>
      </c>
      <c r="I166" s="87">
        <v>5.6767663447887609</v>
      </c>
      <c r="J166" s="87">
        <v>5.3310857199671888</v>
      </c>
      <c r="K166" s="87">
        <v>4.8959957294878338</v>
      </c>
      <c r="L166" s="87">
        <v>4.7278286661204865</v>
      </c>
      <c r="M166" s="87">
        <v>7.4306338259146454</v>
      </c>
      <c r="N166" s="87">
        <v>0</v>
      </c>
      <c r="O166" s="88">
        <v>36.683043285664283</v>
      </c>
    </row>
    <row r="167" spans="1:15" s="77" customFormat="1" ht="14.4" x14ac:dyDescent="0.3">
      <c r="A167" s="67"/>
      <c r="B167" s="86" t="s">
        <v>102</v>
      </c>
      <c r="C167" s="87">
        <v>0.91750139761433092</v>
      </c>
      <c r="D167" s="87">
        <v>0.88218653264895819</v>
      </c>
      <c r="E167" s="87">
        <v>0.90232964572041319</v>
      </c>
      <c r="F167" s="87">
        <v>0.91059458092877921</v>
      </c>
      <c r="G167" s="87">
        <v>0.9243564819165212</v>
      </c>
      <c r="H167" s="87">
        <v>0.94450452825168352</v>
      </c>
      <c r="I167" s="87">
        <v>0.95812770230577227</v>
      </c>
      <c r="J167" s="87">
        <v>0.98111068961270642</v>
      </c>
      <c r="K167" s="87">
        <v>1.0000821360489078</v>
      </c>
      <c r="L167" s="87">
        <v>1.0381019825140989</v>
      </c>
      <c r="M167" s="87">
        <v>1.0200986412583568</v>
      </c>
      <c r="N167" s="87">
        <v>0</v>
      </c>
      <c r="O167" s="88">
        <v>10.478994318820529</v>
      </c>
    </row>
    <row r="168" spans="1:15" s="77" customFormat="1" ht="14.4" x14ac:dyDescent="0.3">
      <c r="A168" s="67"/>
      <c r="B168" s="86" t="s">
        <v>103</v>
      </c>
      <c r="C168" s="87">
        <v>12.573034439727968</v>
      </c>
      <c r="D168" s="87">
        <v>11.263697687308142</v>
      </c>
      <c r="E168" s="87">
        <v>14.072935116567335</v>
      </c>
      <c r="F168" s="87">
        <v>13.315493179091604</v>
      </c>
      <c r="G168" s="87">
        <v>13.599846754621394</v>
      </c>
      <c r="H168" s="87">
        <v>13.409827168809977</v>
      </c>
      <c r="I168" s="87">
        <v>15.024300903740968</v>
      </c>
      <c r="J168" s="87">
        <v>14.525404583039988</v>
      </c>
      <c r="K168" s="87">
        <v>14.916079868214878</v>
      </c>
      <c r="L168" s="87">
        <v>15.191628279491447</v>
      </c>
      <c r="M168" s="87">
        <v>15.80050461270481</v>
      </c>
      <c r="N168" s="87">
        <v>0</v>
      </c>
      <c r="O168" s="88">
        <v>153.69275259331849</v>
      </c>
    </row>
    <row r="169" spans="1:15" s="77" customFormat="1" ht="14.4" x14ac:dyDescent="0.3">
      <c r="A169" s="67"/>
      <c r="B169" s="86" t="s">
        <v>104</v>
      </c>
      <c r="C169" s="87">
        <v>19.37440338984667</v>
      </c>
      <c r="D169" s="87">
        <v>18.868108631802837</v>
      </c>
      <c r="E169" s="87">
        <v>21.179732904454379</v>
      </c>
      <c r="F169" s="87">
        <v>20.041093082065697</v>
      </c>
      <c r="G169" s="87">
        <v>21.387096507905429</v>
      </c>
      <c r="H169" s="87">
        <v>22.427735013954127</v>
      </c>
      <c r="I169" s="87">
        <v>24.638588190352497</v>
      </c>
      <c r="J169" s="87">
        <v>24.969375961353432</v>
      </c>
      <c r="K169" s="87">
        <v>25.480016006098509</v>
      </c>
      <c r="L169" s="87">
        <v>26.810276257609967</v>
      </c>
      <c r="M169" s="87">
        <v>25.833081821740379</v>
      </c>
      <c r="N169" s="87">
        <v>0</v>
      </c>
      <c r="O169" s="88">
        <v>251.00950776718389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v>0.56635289701834324</v>
      </c>
      <c r="D171" s="85">
        <v>0.77350204213600393</v>
      </c>
      <c r="E171" s="85">
        <v>0.72364243487584323</v>
      </c>
      <c r="F171" s="85">
        <v>0.69832823480306183</v>
      </c>
      <c r="G171" s="85">
        <v>1.716157163269294</v>
      </c>
      <c r="H171" s="85">
        <v>0.62396843942136548</v>
      </c>
      <c r="I171" s="85">
        <v>0.62681935206729067</v>
      </c>
      <c r="J171" s="85">
        <v>0.7883862225515692</v>
      </c>
      <c r="K171" s="85">
        <v>0.61510482267129296</v>
      </c>
      <c r="L171" s="85">
        <v>0.65089559932830776</v>
      </c>
      <c r="M171" s="85">
        <v>0.61498713453076026</v>
      </c>
      <c r="N171" s="85">
        <v>0</v>
      </c>
      <c r="O171" s="85">
        <v>8.398144342673131</v>
      </c>
    </row>
    <row r="172" spans="1:15" s="77" customFormat="1" ht="14.4" x14ac:dyDescent="0.3">
      <c r="A172" s="67"/>
      <c r="B172" s="86" t="s">
        <v>106</v>
      </c>
      <c r="C172" s="87">
        <v>0.56635289701834324</v>
      </c>
      <c r="D172" s="87">
        <v>0.55983842707343467</v>
      </c>
      <c r="E172" s="87">
        <v>0.6610746117615105</v>
      </c>
      <c r="F172" s="87">
        <v>0.63181862741148698</v>
      </c>
      <c r="G172" s="87">
        <v>0.54761574387600132</v>
      </c>
      <c r="H172" s="87">
        <v>0.55505383346929127</v>
      </c>
      <c r="I172" s="87">
        <v>0.55831449272321521</v>
      </c>
      <c r="J172" s="87">
        <v>0.57417061681353876</v>
      </c>
      <c r="K172" s="87">
        <v>0.5596615357916791</v>
      </c>
      <c r="L172" s="87">
        <v>0.60140598647063148</v>
      </c>
      <c r="M172" s="87">
        <v>0.58373703615553807</v>
      </c>
      <c r="N172" s="87">
        <v>0</v>
      </c>
      <c r="O172" s="88">
        <v>6.3990438085646693</v>
      </c>
    </row>
    <row r="173" spans="1:15" s="77" customFormat="1" ht="14.4" x14ac:dyDescent="0.3">
      <c r="A173" s="67"/>
      <c r="B173" s="86" t="s">
        <v>107</v>
      </c>
      <c r="C173" s="87">
        <v>0</v>
      </c>
      <c r="D173" s="87">
        <v>0.21366361506256923</v>
      </c>
      <c r="E173" s="87">
        <v>6.2567823114332677E-2</v>
      </c>
      <c r="F173" s="87">
        <v>6.6509607391574826E-2</v>
      </c>
      <c r="G173" s="87">
        <v>1.1685414193932928</v>
      </c>
      <c r="H173" s="87">
        <v>6.8914605952074187E-2</v>
      </c>
      <c r="I173" s="87">
        <v>6.8504859344075422E-2</v>
      </c>
      <c r="J173" s="87">
        <v>0.21421560573803045</v>
      </c>
      <c r="K173" s="87">
        <v>5.5443286879613821E-2</v>
      </c>
      <c r="L173" s="87">
        <v>4.9489612857676238E-2</v>
      </c>
      <c r="M173" s="87">
        <v>3.1250098375222135E-2</v>
      </c>
      <c r="N173" s="87">
        <v>0</v>
      </c>
      <c r="O173" s="88">
        <v>1.9991005341084618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v>61.962720536656157</v>
      </c>
      <c r="D175" s="96">
        <v>61.267594086616285</v>
      </c>
      <c r="E175" s="96">
        <v>57.894416000246935</v>
      </c>
      <c r="F175" s="96">
        <v>67.578462338782288</v>
      </c>
      <c r="G175" s="96">
        <v>62.639131343531758</v>
      </c>
      <c r="H175" s="96">
        <v>65.72464038770427</v>
      </c>
      <c r="I175" s="96">
        <v>74.962825140930576</v>
      </c>
      <c r="J175" s="96">
        <v>76.762683018663466</v>
      </c>
      <c r="K175" s="96">
        <v>76.567571904363177</v>
      </c>
      <c r="L175" s="96">
        <v>83.54688345735002</v>
      </c>
      <c r="M175" s="96">
        <v>77.3382173675963</v>
      </c>
      <c r="N175" s="96">
        <v>0</v>
      </c>
      <c r="O175" s="96">
        <v>766.24514558244118</v>
      </c>
    </row>
    <row r="176" spans="1:15" s="77" customFormat="1" ht="14.4" x14ac:dyDescent="0.3">
      <c r="A176" s="67"/>
      <c r="B176" s="97" t="s">
        <v>109</v>
      </c>
      <c r="C176" s="98">
        <v>54.163497457024889</v>
      </c>
      <c r="D176" s="98">
        <v>45.992580052122477</v>
      </c>
      <c r="E176" s="98">
        <v>45.686479192900606</v>
      </c>
      <c r="F176" s="98">
        <v>55.07171801289531</v>
      </c>
      <c r="G176" s="98">
        <v>52.182353418309781</v>
      </c>
      <c r="H176" s="98">
        <v>52.907335101206421</v>
      </c>
      <c r="I176" s="98">
        <v>61.499132728885151</v>
      </c>
      <c r="J176" s="98">
        <v>65.808445025117877</v>
      </c>
      <c r="K176" s="98">
        <v>66.60348308697354</v>
      </c>
      <c r="L176" s="98">
        <v>70.94689860114886</v>
      </c>
      <c r="M176" s="98">
        <v>66.10254517793264</v>
      </c>
      <c r="N176" s="98">
        <v>0</v>
      </c>
      <c r="O176" s="98">
        <v>636.96446785451747</v>
      </c>
    </row>
    <row r="177" spans="1:15" s="77" customFormat="1" ht="14.4" x14ac:dyDescent="0.3">
      <c r="A177" s="67"/>
      <c r="B177" s="86" t="s">
        <v>110</v>
      </c>
      <c r="C177" s="87">
        <v>16.351082867420612</v>
      </c>
      <c r="D177" s="87">
        <v>19.029188477187727</v>
      </c>
      <c r="E177" s="87">
        <v>18.238360523295071</v>
      </c>
      <c r="F177" s="87">
        <v>17.89638901517387</v>
      </c>
      <c r="G177" s="87">
        <v>15.956508457970802</v>
      </c>
      <c r="H177" s="87">
        <v>16.262555367686623</v>
      </c>
      <c r="I177" s="87">
        <v>16.516430313309346</v>
      </c>
      <c r="J177" s="87">
        <v>19.879153931759987</v>
      </c>
      <c r="K177" s="87">
        <v>25.619599796082216</v>
      </c>
      <c r="L177" s="87">
        <v>37.309878357891797</v>
      </c>
      <c r="M177" s="87">
        <v>29.506450252477222</v>
      </c>
      <c r="N177" s="87">
        <v>0</v>
      </c>
      <c r="O177" s="88">
        <v>232.56559736025525</v>
      </c>
    </row>
    <row r="178" spans="1:15" s="77" customFormat="1" ht="14.4" x14ac:dyDescent="0.3">
      <c r="A178" s="67"/>
      <c r="B178" s="86" t="s">
        <v>111</v>
      </c>
      <c r="C178" s="87">
        <v>33.001486798246766</v>
      </c>
      <c r="D178" s="87">
        <v>22.060857919436945</v>
      </c>
      <c r="E178" s="87">
        <v>22.501440494052485</v>
      </c>
      <c r="F178" s="87">
        <v>33.213180780557963</v>
      </c>
      <c r="G178" s="87">
        <v>31.258500620272908</v>
      </c>
      <c r="H178" s="87">
        <v>31.85580718173923</v>
      </c>
      <c r="I178" s="87">
        <v>39.492007866049299</v>
      </c>
      <c r="J178" s="87">
        <v>40.738852443053737</v>
      </c>
      <c r="K178" s="87">
        <v>35.059991867737246</v>
      </c>
      <c r="L178" s="87">
        <v>28.013929385544898</v>
      </c>
      <c r="M178" s="87">
        <v>30.658168860905022</v>
      </c>
      <c r="N178" s="87">
        <v>0</v>
      </c>
      <c r="O178" s="88">
        <v>347.85422421759654</v>
      </c>
    </row>
    <row r="179" spans="1:15" s="77" customFormat="1" ht="14.4" x14ac:dyDescent="0.3">
      <c r="A179" s="67"/>
      <c r="B179" s="86" t="s">
        <v>112</v>
      </c>
      <c r="C179" s="87">
        <v>4.6449659779006165</v>
      </c>
      <c r="D179" s="87">
        <v>4.5641849294984684</v>
      </c>
      <c r="E179" s="87">
        <v>4.5784088035659396</v>
      </c>
      <c r="F179" s="87">
        <v>4.1369469984788534</v>
      </c>
      <c r="G179" s="87">
        <v>4.876249457370875</v>
      </c>
      <c r="H179" s="87">
        <v>4.655255761629884</v>
      </c>
      <c r="I179" s="87">
        <v>5.3600395232176483</v>
      </c>
      <c r="J179" s="87">
        <v>5.0629938084059116</v>
      </c>
      <c r="K179" s="87">
        <v>5.4521932670452733</v>
      </c>
      <c r="L179" s="87">
        <v>4.5308234045172622</v>
      </c>
      <c r="M179" s="87">
        <v>5.1895896383967131</v>
      </c>
      <c r="N179" s="87">
        <v>0</v>
      </c>
      <c r="O179" s="88">
        <v>53.051651570027445</v>
      </c>
    </row>
    <row r="180" spans="1:15" s="77" customFormat="1" ht="14.4" x14ac:dyDescent="0.3">
      <c r="A180" s="67"/>
      <c r="B180" s="86" t="s">
        <v>113</v>
      </c>
      <c r="C180" s="87">
        <v>0.16596181345689792</v>
      </c>
      <c r="D180" s="87">
        <v>0.33834872599933791</v>
      </c>
      <c r="E180" s="87">
        <v>0.36826937198710302</v>
      </c>
      <c r="F180" s="87">
        <v>-0.17479878131537277</v>
      </c>
      <c r="G180" s="87">
        <v>9.109488269519686E-2</v>
      </c>
      <c r="H180" s="87">
        <v>0.13371679015068375</v>
      </c>
      <c r="I180" s="87">
        <v>0.13065502630884809</v>
      </c>
      <c r="J180" s="87">
        <v>0.12744484189823604</v>
      </c>
      <c r="K180" s="87">
        <v>0.47169815610879778</v>
      </c>
      <c r="L180" s="87">
        <v>1.0922674531948922</v>
      </c>
      <c r="M180" s="87">
        <v>0.74833642615367857</v>
      </c>
      <c r="N180" s="87">
        <v>0</v>
      </c>
      <c r="O180" s="88">
        <v>3.4929947066382994</v>
      </c>
    </row>
    <row r="181" spans="1:15" s="77" customFormat="1" ht="14.4" hidden="1" x14ac:dyDescent="0.3">
      <c r="A181" s="67"/>
      <c r="B181" s="86" t="s">
        <v>257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v>7.7834707121104856</v>
      </c>
      <c r="D183" s="98">
        <v>15.226673199657261</v>
      </c>
      <c r="E183" s="98">
        <v>12.190339354281537</v>
      </c>
      <c r="F183" s="98">
        <v>12.476632515951508</v>
      </c>
      <c r="G183" s="98">
        <v>10.424687611532386</v>
      </c>
      <c r="H183" s="98">
        <v>12.801748741251712</v>
      </c>
      <c r="I183" s="98">
        <v>11.984371659541432</v>
      </c>
      <c r="J183" s="98">
        <v>10.924476528739573</v>
      </c>
      <c r="K183" s="98">
        <v>9.937928698668987</v>
      </c>
      <c r="L183" s="98">
        <v>12.562206081048201</v>
      </c>
      <c r="M183" s="98">
        <v>11.200234219239231</v>
      </c>
      <c r="N183" s="98">
        <v>0</v>
      </c>
      <c r="O183" s="98">
        <v>127.51276932202231</v>
      </c>
    </row>
    <row r="184" spans="1:15" s="77" customFormat="1" ht="14.4" x14ac:dyDescent="0.3">
      <c r="A184" s="67"/>
      <c r="B184" s="86" t="s">
        <v>267</v>
      </c>
      <c r="C184" s="87">
        <v>6.9610255972433608</v>
      </c>
      <c r="D184" s="87">
        <v>14.094989163187094</v>
      </c>
      <c r="E184" s="87">
        <v>11.461297968981164</v>
      </c>
      <c r="F184" s="87">
        <v>11.169737486079271</v>
      </c>
      <c r="G184" s="87">
        <v>9.9837990893465403</v>
      </c>
      <c r="H184" s="87">
        <v>11.932601888341118</v>
      </c>
      <c r="I184" s="87">
        <v>10.872330198484988</v>
      </c>
      <c r="J184" s="87">
        <v>10.73229452816317</v>
      </c>
      <c r="K184" s="87">
        <v>8.8883061845302596</v>
      </c>
      <c r="L184" s="87">
        <v>11.883203566631444</v>
      </c>
      <c r="M184" s="87">
        <v>10.63719724020479</v>
      </c>
      <c r="N184" s="87">
        <v>0</v>
      </c>
      <c r="O184" s="88">
        <v>118.6167829111932</v>
      </c>
    </row>
    <row r="185" spans="1:15" s="77" customFormat="1" ht="14.4" x14ac:dyDescent="0.3">
      <c r="A185" s="67"/>
      <c r="B185" s="86" t="s">
        <v>115</v>
      </c>
      <c r="C185" s="87">
        <v>3.537369245795924</v>
      </c>
      <c r="D185" s="87">
        <v>3.8821239324541112</v>
      </c>
      <c r="E185" s="87">
        <v>4.6234715518921954</v>
      </c>
      <c r="F185" s="87">
        <v>4.1534554424526897</v>
      </c>
      <c r="G185" s="87">
        <v>3.422918837842766</v>
      </c>
      <c r="H185" s="87">
        <v>5.3562497349708877</v>
      </c>
      <c r="I185" s="87">
        <v>3.3336162084146332</v>
      </c>
      <c r="J185" s="87">
        <v>3.3916013659502862</v>
      </c>
      <c r="K185" s="87">
        <v>3.4384561650134784</v>
      </c>
      <c r="L185" s="87">
        <v>4.2171923581902577</v>
      </c>
      <c r="M185" s="87">
        <v>4.1836337617415582</v>
      </c>
      <c r="N185" s="87">
        <v>0</v>
      </c>
      <c r="O185" s="88">
        <v>43.54008860471879</v>
      </c>
    </row>
    <row r="186" spans="1:15" s="77" customFormat="1" ht="14.4" x14ac:dyDescent="0.3">
      <c r="A186" s="67"/>
      <c r="B186" s="86" t="s">
        <v>116</v>
      </c>
      <c r="C186" s="87">
        <v>2.653982143959901</v>
      </c>
      <c r="D186" s="87">
        <v>7.9900900058677742</v>
      </c>
      <c r="E186" s="87">
        <v>5.2593741902962829</v>
      </c>
      <c r="F186" s="87">
        <v>4.31561423258219</v>
      </c>
      <c r="G186" s="87">
        <v>4.7467864258765342</v>
      </c>
      <c r="H186" s="87">
        <v>5.3093601580053686</v>
      </c>
      <c r="I186" s="87">
        <v>5.9220580184489711</v>
      </c>
      <c r="J186" s="87">
        <v>6.376280515939432</v>
      </c>
      <c r="K186" s="87">
        <v>4.0982496352192079</v>
      </c>
      <c r="L186" s="87">
        <v>6.5060212205038042</v>
      </c>
      <c r="M186" s="87">
        <v>4.6789332723336425</v>
      </c>
      <c r="N186" s="87">
        <v>0</v>
      </c>
      <c r="O186" s="88">
        <v>57.856749819033112</v>
      </c>
    </row>
    <row r="187" spans="1:15" s="77" customFormat="1" ht="14.4" x14ac:dyDescent="0.3">
      <c r="A187" s="67"/>
      <c r="B187" s="86" t="s">
        <v>117</v>
      </c>
      <c r="C187" s="87">
        <v>0.67894723632239973</v>
      </c>
      <c r="D187" s="87">
        <v>1.1455979781887988</v>
      </c>
      <c r="E187" s="87">
        <v>0.80288680520798295</v>
      </c>
      <c r="F187" s="87">
        <v>0.49348670033525704</v>
      </c>
      <c r="G187" s="87">
        <v>0.79255394339424867</v>
      </c>
      <c r="H187" s="87">
        <v>0.62762700205185751</v>
      </c>
      <c r="I187" s="87">
        <v>0.46056720111630967</v>
      </c>
      <c r="J187" s="87">
        <v>0.70525023505426676</v>
      </c>
      <c r="K187" s="87">
        <v>0.67848377635874491</v>
      </c>
      <c r="L187" s="87">
        <v>0.71678854669705439</v>
      </c>
      <c r="M187" s="87">
        <v>0.71547506434938357</v>
      </c>
      <c r="N187" s="87">
        <v>0</v>
      </c>
      <c r="O187" s="88">
        <v>7.8176644890763045</v>
      </c>
    </row>
    <row r="188" spans="1:15" s="77" customFormat="1" ht="14.4" x14ac:dyDescent="0.3">
      <c r="A188" s="67"/>
      <c r="B188" s="86" t="s">
        <v>120</v>
      </c>
      <c r="C188" s="87">
        <v>9.0726971165135964E-2</v>
      </c>
      <c r="D188" s="87">
        <v>1.0771772466764089</v>
      </c>
      <c r="E188" s="87">
        <v>0.77556542158470232</v>
      </c>
      <c r="F188" s="87">
        <v>2.2071811107091328</v>
      </c>
      <c r="G188" s="87">
        <v>1.0215398822329904</v>
      </c>
      <c r="H188" s="87">
        <v>0.639364993313004</v>
      </c>
      <c r="I188" s="87">
        <v>1.1560887705050737</v>
      </c>
      <c r="J188" s="87">
        <v>0.25916241121918537</v>
      </c>
      <c r="K188" s="87">
        <v>0.67311660793882899</v>
      </c>
      <c r="L188" s="87">
        <v>0.44320144124032768</v>
      </c>
      <c r="M188" s="87">
        <v>1.0591551417802036</v>
      </c>
      <c r="N188" s="87">
        <v>0</v>
      </c>
      <c r="O188" s="88">
        <v>9.4022799983649943</v>
      </c>
    </row>
    <row r="189" spans="1:15" s="77" customFormat="1" ht="14.4" x14ac:dyDescent="0.3">
      <c r="A189" s="67"/>
      <c r="B189" s="86" t="s">
        <v>268</v>
      </c>
      <c r="C189" s="87">
        <v>0.82244511486712479</v>
      </c>
      <c r="D189" s="87">
        <v>1.131684036470167</v>
      </c>
      <c r="E189" s="87">
        <v>0.72904138530037343</v>
      </c>
      <c r="F189" s="87">
        <v>1.3068950298722375</v>
      </c>
      <c r="G189" s="87">
        <v>0.4408885221858459</v>
      </c>
      <c r="H189" s="87">
        <v>0.8691468529105939</v>
      </c>
      <c r="I189" s="87">
        <v>1.1120414610564449</v>
      </c>
      <c r="J189" s="87">
        <v>0.19218200057640447</v>
      </c>
      <c r="K189" s="87">
        <v>1.049622514138727</v>
      </c>
      <c r="L189" s="87">
        <v>0.67900251441675619</v>
      </c>
      <c r="M189" s="87">
        <v>0.56303697903444183</v>
      </c>
      <c r="N189" s="87">
        <v>0</v>
      </c>
      <c r="O189" s="88">
        <v>8.8959864108291171</v>
      </c>
    </row>
    <row r="190" spans="1:15" s="77" customFormat="1" ht="14.4" x14ac:dyDescent="0.3">
      <c r="A190" s="67"/>
      <c r="B190" s="86" t="s">
        <v>118</v>
      </c>
      <c r="C190" s="87">
        <v>0</v>
      </c>
      <c r="D190" s="87">
        <v>0.72683501518155891</v>
      </c>
      <c r="E190" s="87">
        <v>0.35057307534315718</v>
      </c>
      <c r="F190" s="87">
        <v>0.68204221869992032</v>
      </c>
      <c r="G190" s="87">
        <v>5.8275995262491442E-2</v>
      </c>
      <c r="H190" s="87">
        <v>0.41751403026303352</v>
      </c>
      <c r="I190" s="87">
        <v>0.6162046746602885</v>
      </c>
      <c r="J190" s="87">
        <v>8.0090406063688127E-2</v>
      </c>
      <c r="K190" s="87">
        <v>0.12120388819394282</v>
      </c>
      <c r="L190" s="87">
        <v>5.5997473196954396E-2</v>
      </c>
      <c r="M190" s="87">
        <v>1.2249301853262248E-2</v>
      </c>
      <c r="N190" s="87">
        <v>0</v>
      </c>
      <c r="O190" s="88">
        <v>3.120986078718297</v>
      </c>
    </row>
    <row r="191" spans="1:15" s="77" customFormat="1" ht="14.4" x14ac:dyDescent="0.3">
      <c r="A191" s="67"/>
      <c r="B191" s="86" t="s">
        <v>119</v>
      </c>
      <c r="C191" s="87">
        <v>0.82244511486712479</v>
      </c>
      <c r="D191" s="87">
        <v>0.40484902128860806</v>
      </c>
      <c r="E191" s="87">
        <v>0.37846830995721631</v>
      </c>
      <c r="F191" s="87">
        <v>0.62485281117231717</v>
      </c>
      <c r="G191" s="87">
        <v>0.38261252692335446</v>
      </c>
      <c r="H191" s="87">
        <v>0.45163282264756033</v>
      </c>
      <c r="I191" s="87">
        <v>0.49583678639615636</v>
      </c>
      <c r="J191" s="87">
        <v>0.11209159451271634</v>
      </c>
      <c r="K191" s="87">
        <v>0.92841862594478408</v>
      </c>
      <c r="L191" s="87">
        <v>0.62300504121980183</v>
      </c>
      <c r="M191" s="87">
        <v>0.5507876771811796</v>
      </c>
      <c r="N191" s="87">
        <v>0</v>
      </c>
      <c r="O191" s="88">
        <v>5.7750003321108192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v>1.575236752077934E-2</v>
      </c>
      <c r="D193" s="102">
        <v>4.8340834836547213E-2</v>
      </c>
      <c r="E193" s="102">
        <v>1.7597453064796757E-2</v>
      </c>
      <c r="F193" s="102">
        <v>3.0111809935471089E-2</v>
      </c>
      <c r="G193" s="102">
        <v>3.2090313689592365E-2</v>
      </c>
      <c r="H193" s="102">
        <v>1.5556545246136639E-2</v>
      </c>
      <c r="I193" s="102">
        <v>1.4793207525039989</v>
      </c>
      <c r="J193" s="102">
        <v>2.9761464806010125E-2</v>
      </c>
      <c r="K193" s="102">
        <v>2.6160118720652079E-2</v>
      </c>
      <c r="L193" s="102">
        <v>3.7778775152957279E-2</v>
      </c>
      <c r="M193" s="102">
        <v>3.5437970424424294E-2</v>
      </c>
      <c r="N193" s="102">
        <v>0</v>
      </c>
      <c r="O193" s="102">
        <v>1.7679084059013661</v>
      </c>
    </row>
    <row r="194" spans="1:15" s="77" customFormat="1" ht="14.4" x14ac:dyDescent="0.3">
      <c r="A194" s="67"/>
      <c r="B194" s="86" t="s">
        <v>73</v>
      </c>
      <c r="C194" s="103">
        <v>1.575236752077934E-2</v>
      </c>
      <c r="D194" s="103">
        <v>4.8340834836547213E-2</v>
      </c>
      <c r="E194" s="103">
        <v>1.7597453064796757E-2</v>
      </c>
      <c r="F194" s="103">
        <v>3.0111809935471089E-2</v>
      </c>
      <c r="G194" s="103">
        <v>3.2090313689592365E-2</v>
      </c>
      <c r="H194" s="103">
        <v>1.5556545246136639E-2</v>
      </c>
      <c r="I194" s="103">
        <v>1.4793207525039989</v>
      </c>
      <c r="J194" s="103">
        <v>2.9761464806010125E-2</v>
      </c>
      <c r="K194" s="103">
        <v>2.6160118720652079E-2</v>
      </c>
      <c r="L194" s="103">
        <v>3.7778775152957279E-2</v>
      </c>
      <c r="M194" s="103">
        <v>3.5437970424424294E-2</v>
      </c>
      <c r="N194" s="103">
        <v>0</v>
      </c>
      <c r="O194" s="103">
        <v>1.7679084059013661</v>
      </c>
    </row>
    <row r="195" spans="1:15" s="77" customFormat="1" ht="15" customHeight="1" outlineLevel="1" x14ac:dyDescent="0.3">
      <c r="A195" s="67"/>
      <c r="B195" s="89" t="s">
        <v>122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v>1.575236752077934E-2</v>
      </c>
      <c r="D196" s="99">
        <v>4.8340834836547213E-2</v>
      </c>
      <c r="E196" s="99">
        <v>1.7597453064796757E-2</v>
      </c>
      <c r="F196" s="99">
        <v>3.0111809935471089E-2</v>
      </c>
      <c r="G196" s="99">
        <v>3.2090313689592365E-2</v>
      </c>
      <c r="H196" s="99">
        <v>1.5556545246136639E-2</v>
      </c>
      <c r="I196" s="99">
        <v>1.4793207525039989</v>
      </c>
      <c r="J196" s="99">
        <v>2.9761464806010125E-2</v>
      </c>
      <c r="K196" s="99">
        <v>2.6160118720652079E-2</v>
      </c>
      <c r="L196" s="99">
        <v>3.7778775152957279E-2</v>
      </c>
      <c r="M196" s="99">
        <v>3.5437970424424294E-2</v>
      </c>
      <c r="N196" s="99">
        <v>0</v>
      </c>
      <c r="O196" s="99">
        <v>1.7679084059013661</v>
      </c>
    </row>
    <row r="197" spans="1:15" s="77" customFormat="1" ht="15" customHeight="1" outlineLevel="1" x14ac:dyDescent="0.3">
      <c r="A197" s="67"/>
      <c r="B197" s="89" t="s">
        <v>124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v>-14.18008363592272</v>
      </c>
      <c r="D199" s="107">
        <v>-3.5189624270531681</v>
      </c>
      <c r="E199" s="107">
        <v>2.6245864391620159</v>
      </c>
      <c r="F199" s="107">
        <v>-9.0493157150282357</v>
      </c>
      <c r="G199" s="107">
        <v>-3.8541125064046682</v>
      </c>
      <c r="H199" s="107">
        <v>-2.8127273729970028</v>
      </c>
      <c r="I199" s="107">
        <v>-7.8791354540924701</v>
      </c>
      <c r="J199" s="107">
        <v>-11.838247609236589</v>
      </c>
      <c r="K199" s="107">
        <v>-12.140270445451428</v>
      </c>
      <c r="L199" s="107">
        <v>-14.159393555855686</v>
      </c>
      <c r="M199" s="107">
        <v>-8.5095415486269417</v>
      </c>
      <c r="N199" s="107">
        <v>0</v>
      </c>
      <c r="O199" s="107">
        <v>-85.317203831506845</v>
      </c>
    </row>
    <row r="200" spans="1:15" s="77" customFormat="1" ht="14.4" x14ac:dyDescent="0.3">
      <c r="A200" s="67"/>
      <c r="B200" s="106" t="s">
        <v>126</v>
      </c>
      <c r="C200" s="107">
        <v>-21.412953818535648</v>
      </c>
      <c r="D200" s="107">
        <v>-18.020474419410974</v>
      </c>
      <c r="E200" s="107">
        <v>-8.8597079333084707</v>
      </c>
      <c r="F200" s="107">
        <v>-20.857731806112149</v>
      </c>
      <c r="G200" s="107">
        <v>-12.594733268357352</v>
      </c>
      <c r="H200" s="107">
        <v>-15.006064220073483</v>
      </c>
      <c r="I200" s="107">
        <v>-20.716008514070602</v>
      </c>
      <c r="J200" s="107">
        <v>-22.004099380230613</v>
      </c>
      <c r="K200" s="107">
        <v>-21.489254440169773</v>
      </c>
      <c r="L200" s="107">
        <v>-26.108482812728539</v>
      </c>
      <c r="M200" s="107">
        <v>-19.130226603759844</v>
      </c>
      <c r="N200" s="107">
        <v>0</v>
      </c>
      <c r="O200" s="107">
        <v>-206.1997372167574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v>2.0444946311099104</v>
      </c>
      <c r="D202" s="96">
        <v>0.80598643323859487</v>
      </c>
      <c r="E202" s="96">
        <v>0.68063269053808595</v>
      </c>
      <c r="F202" s="96">
        <v>0.37091446625350649</v>
      </c>
      <c r="G202" s="96">
        <v>1.4438233512727392</v>
      </c>
      <c r="H202" s="96">
        <v>0.62622445564544682</v>
      </c>
      <c r="I202" s="96">
        <v>1.2233964962494317</v>
      </c>
      <c r="J202" s="96">
        <v>3.1060920177441735</v>
      </c>
      <c r="K202" s="96">
        <v>1.9056673525849059</v>
      </c>
      <c r="L202" s="96">
        <v>3.3308566820429766</v>
      </c>
      <c r="M202" s="96">
        <v>4.7956233344599593</v>
      </c>
      <c r="N202" s="96">
        <v>0</v>
      </c>
      <c r="O202" s="96">
        <v>20.33371191113973</v>
      </c>
    </row>
    <row r="203" spans="1:15" s="77" customFormat="1" ht="14.4" x14ac:dyDescent="0.3">
      <c r="A203" s="67"/>
      <c r="B203" s="86" t="s">
        <v>128</v>
      </c>
      <c r="C203" s="103">
        <v>1.7334325577765772</v>
      </c>
      <c r="D203" s="103">
        <v>0.30207577990526152</v>
      </c>
      <c r="E203" s="103">
        <v>0.11373477053808584</v>
      </c>
      <c r="F203" s="103">
        <v>0.16098925958683982</v>
      </c>
      <c r="G203" s="103">
        <v>1.2372730546060726</v>
      </c>
      <c r="H203" s="103">
        <v>0.59750260897878016</v>
      </c>
      <c r="I203" s="103">
        <v>1.1365509395827651</v>
      </c>
      <c r="J203" s="103">
        <v>0.1468907010775066</v>
      </c>
      <c r="K203" s="103">
        <v>0.11562471925157244</v>
      </c>
      <c r="L203" s="103">
        <v>1.914619732042977</v>
      </c>
      <c r="M203" s="103">
        <v>0.91968931112662544</v>
      </c>
      <c r="N203" s="103">
        <v>0</v>
      </c>
      <c r="O203" s="88">
        <v>8.3783834344730632</v>
      </c>
    </row>
    <row r="204" spans="1:15" s="77" customFormat="1" ht="14.4" x14ac:dyDescent="0.3">
      <c r="A204" s="67"/>
      <c r="B204" s="86" t="s">
        <v>129</v>
      </c>
      <c r="C204" s="103">
        <v>0.3110620733333333</v>
      </c>
      <c r="D204" s="103">
        <v>0.50391065333333329</v>
      </c>
      <c r="E204" s="103">
        <v>0.56689792000000006</v>
      </c>
      <c r="F204" s="103">
        <v>0.20992520666666667</v>
      </c>
      <c r="G204" s="103">
        <v>0.20655029666666666</v>
      </c>
      <c r="H204" s="103">
        <v>2.8721846666666669E-2</v>
      </c>
      <c r="I204" s="103">
        <v>8.6845556666666671E-2</v>
      </c>
      <c r="J204" s="103">
        <v>2.9592013166666669</v>
      </c>
      <c r="K204" s="103">
        <v>1.7900426333333335</v>
      </c>
      <c r="L204" s="103">
        <v>1.4162369499999998</v>
      </c>
      <c r="M204" s="103">
        <v>3.8759340233333335</v>
      </c>
      <c r="N204" s="103">
        <v>0</v>
      </c>
      <c r="O204" s="88">
        <v>11.955328476666669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v>-23.457448449645558</v>
      </c>
      <c r="D206" s="107">
        <v>-18.826460852649568</v>
      </c>
      <c r="E206" s="107">
        <v>-9.5403406238465571</v>
      </c>
      <c r="F206" s="107">
        <v>-21.228646272365655</v>
      </c>
      <c r="G206" s="107">
        <v>-14.038556619630091</v>
      </c>
      <c r="H206" s="107">
        <v>-15.632288675718931</v>
      </c>
      <c r="I206" s="107">
        <v>-21.939405010320034</v>
      </c>
      <c r="J206" s="107">
        <v>-25.110191397974788</v>
      </c>
      <c r="K206" s="107">
        <v>-23.39492179275468</v>
      </c>
      <c r="L206" s="107">
        <v>-29.439339494771517</v>
      </c>
      <c r="M206" s="107">
        <v>-23.925849938219805</v>
      </c>
      <c r="N206" s="107">
        <v>0</v>
      </c>
      <c r="O206" s="107">
        <v>-226.53344912789714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v>69.287534417471576</v>
      </c>
      <c r="D208" s="112">
        <v>25.911881918306396</v>
      </c>
      <c r="E208" s="112">
        <v>-17.461502337788058</v>
      </c>
      <c r="F208" s="112">
        <v>43.304932953238655</v>
      </c>
      <c r="G208" s="112">
        <v>-16.421067269264828</v>
      </c>
      <c r="H208" s="112">
        <v>27.134721531444239</v>
      </c>
      <c r="I208" s="112">
        <v>17.539483036251042</v>
      </c>
      <c r="J208" s="112">
        <v>63.145174838798937</v>
      </c>
      <c r="K208" s="112">
        <v>25.106720298728629</v>
      </c>
      <c r="L208" s="112">
        <v>-16.861895321250792</v>
      </c>
      <c r="M208" s="112">
        <v>26.473977337824884</v>
      </c>
      <c r="N208" s="112">
        <v>0</v>
      </c>
      <c r="O208" s="112">
        <v>247.15996140376069</v>
      </c>
    </row>
    <row r="209" spans="1:17" s="77" customFormat="1" ht="14.4" x14ac:dyDescent="0.3">
      <c r="A209" s="67"/>
      <c r="B209" s="86" t="s">
        <v>132</v>
      </c>
      <c r="C209" s="103">
        <v>10.431660000000001</v>
      </c>
      <c r="D209" s="103">
        <v>10.431660000000001</v>
      </c>
      <c r="E209" s="103">
        <v>10.431660000000001</v>
      </c>
      <c r="F209" s="103">
        <v>23.931660000000001</v>
      </c>
      <c r="G209" s="103">
        <v>10.43139175</v>
      </c>
      <c r="H209" s="103">
        <v>10.431660000000001</v>
      </c>
      <c r="I209" s="103">
        <v>10.431660000000001</v>
      </c>
      <c r="J209" s="103">
        <v>16.235275000000001</v>
      </c>
      <c r="K209" s="103">
        <v>24.480267999999999</v>
      </c>
      <c r="L209" s="103">
        <v>24.480267999999999</v>
      </c>
      <c r="M209" s="103">
        <v>24.480267999999999</v>
      </c>
      <c r="N209" s="103">
        <v>0</v>
      </c>
      <c r="O209" s="104">
        <v>176.19743075</v>
      </c>
    </row>
    <row r="210" spans="1:17" s="77" customFormat="1" ht="14.4" x14ac:dyDescent="0.3">
      <c r="A210" s="67"/>
      <c r="B210" s="89" t="s">
        <v>133</v>
      </c>
      <c r="C210" s="99">
        <v>10.431660000000001</v>
      </c>
      <c r="D210" s="99">
        <v>10.431660000000001</v>
      </c>
      <c r="E210" s="99">
        <v>10.431660000000001</v>
      </c>
      <c r="F210" s="99">
        <v>23.931660000000001</v>
      </c>
      <c r="G210" s="99">
        <v>10.43139175</v>
      </c>
      <c r="H210" s="99">
        <v>10.431660000000001</v>
      </c>
      <c r="I210" s="99">
        <v>10.431660000000001</v>
      </c>
      <c r="J210" s="99">
        <v>16.235275000000001</v>
      </c>
      <c r="K210" s="99">
        <v>24.480267999999999</v>
      </c>
      <c r="L210" s="99">
        <v>24.480267999999999</v>
      </c>
      <c r="M210" s="99">
        <v>24.480267999999999</v>
      </c>
      <c r="N210" s="99">
        <v>0</v>
      </c>
      <c r="O210" s="266">
        <v>176.19743075</v>
      </c>
    </row>
    <row r="211" spans="1:17" s="77" customFormat="1" ht="14.4" x14ac:dyDescent="0.3">
      <c r="A211" s="67"/>
      <c r="B211" s="86" t="s">
        <v>262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134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136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137</v>
      </c>
      <c r="C215" s="116">
        <v>-7.7772105547411741</v>
      </c>
      <c r="D215" s="116">
        <v>11.835046706434248</v>
      </c>
      <c r="E215" s="116">
        <v>-22.285427203482065</v>
      </c>
      <c r="F215" s="116">
        <v>21.050821186526001</v>
      </c>
      <c r="G215" s="116">
        <v>-17.459569715749183</v>
      </c>
      <c r="H215" s="116">
        <v>2.3129651878501534</v>
      </c>
      <c r="I215" s="116">
        <v>-4.670995586167237</v>
      </c>
      <c r="J215" s="116">
        <v>36.955485821607098</v>
      </c>
      <c r="K215" s="116">
        <v>5.2089688791970588</v>
      </c>
      <c r="L215" s="116">
        <v>-38.050120035637015</v>
      </c>
      <c r="M215" s="116">
        <v>1.9676253468716851</v>
      </c>
      <c r="N215" s="116">
        <v>0</v>
      </c>
      <c r="O215" s="266">
        <v>-10.912409967290429</v>
      </c>
    </row>
    <row r="216" spans="1:17" s="77" customFormat="1" ht="14.4" x14ac:dyDescent="0.3">
      <c r="A216" s="67"/>
      <c r="B216" s="115" t="s">
        <v>138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139</v>
      </c>
      <c r="C217" s="103">
        <v>-7.7772105547411741</v>
      </c>
      <c r="D217" s="103">
        <v>11.835046706434248</v>
      </c>
      <c r="E217" s="103">
        <v>-22.285427203482065</v>
      </c>
      <c r="F217" s="103">
        <v>21.050821186526001</v>
      </c>
      <c r="G217" s="103">
        <v>-17.459569715749183</v>
      </c>
      <c r="H217" s="103">
        <v>2.3129651878501534</v>
      </c>
      <c r="I217" s="103">
        <v>-4.670995586167237</v>
      </c>
      <c r="J217" s="103">
        <v>36.955485821607098</v>
      </c>
      <c r="K217" s="103">
        <v>5.2089688791970588</v>
      </c>
      <c r="L217" s="103">
        <v>-38.050120035637015</v>
      </c>
      <c r="M217" s="103">
        <v>1.9676253468716851</v>
      </c>
      <c r="N217" s="103">
        <v>0</v>
      </c>
      <c r="O217" s="104">
        <v>-10.912409967290429</v>
      </c>
    </row>
    <row r="218" spans="1:17" s="77" customFormat="1" ht="14.4" x14ac:dyDescent="0.3">
      <c r="A218" s="67"/>
      <c r="B218" s="115" t="s">
        <v>140</v>
      </c>
      <c r="C218" s="116">
        <v>66.322022898879425</v>
      </c>
      <c r="D218" s="116">
        <v>3.1412645585388148</v>
      </c>
      <c r="E218" s="116">
        <v>-6.1746330543059926</v>
      </c>
      <c r="F218" s="116">
        <v>-1.8874734399540154</v>
      </c>
      <c r="G218" s="116">
        <v>-9.5994396001823112</v>
      </c>
      <c r="H218" s="116">
        <v>14.361374496927416</v>
      </c>
      <c r="I218" s="116">
        <v>11.691973065751609</v>
      </c>
      <c r="J218" s="116">
        <v>6.9952127005251734</v>
      </c>
      <c r="K218" s="116">
        <v>-6.3725592138017619</v>
      </c>
      <c r="L218" s="116">
        <v>-4.7082802356137758</v>
      </c>
      <c r="M218" s="116">
        <v>-3.8498500323801332</v>
      </c>
      <c r="N218" s="116">
        <v>0</v>
      </c>
      <c r="O218" s="266">
        <v>69.919612144384445</v>
      </c>
    </row>
    <row r="219" spans="1:17" s="77" customFormat="1" ht="14.4" x14ac:dyDescent="0.3">
      <c r="A219" s="67"/>
      <c r="B219" s="115" t="s">
        <v>141</v>
      </c>
      <c r="C219" s="116">
        <v>-0.68324487368675335</v>
      </c>
      <c r="D219" s="116">
        <v>-0.76659727836818803</v>
      </c>
      <c r="E219" s="116">
        <v>-2.5234764900000002</v>
      </c>
      <c r="F219" s="116">
        <v>6.2446021829276104</v>
      </c>
      <c r="G219" s="116">
        <v>-1.8898232666376582</v>
      </c>
      <c r="H219" s="116">
        <v>0.63186163586247024</v>
      </c>
      <c r="I219" s="116">
        <v>-8.7414812114328555E-2</v>
      </c>
      <c r="J219" s="116">
        <v>6.6439946679845505</v>
      </c>
      <c r="K219" s="116">
        <v>1.4027890415167548</v>
      </c>
      <c r="L219" s="116">
        <v>3.0369061319931161</v>
      </c>
      <c r="M219" s="116">
        <v>-2.9479144337245158</v>
      </c>
      <c r="N219" s="116">
        <v>0</v>
      </c>
      <c r="O219" s="266">
        <v>9.0616825057530583</v>
      </c>
      <c r="Q219" s="267"/>
    </row>
    <row r="220" spans="1:17" s="77" customFormat="1" ht="14.4" x14ac:dyDescent="0.3">
      <c r="A220" s="67"/>
      <c r="B220" s="115" t="s">
        <v>262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259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142</v>
      </c>
      <c r="C222" s="116">
        <v>67.005267772566171</v>
      </c>
      <c r="D222" s="116">
        <v>3.9078618369070028</v>
      </c>
      <c r="E222" s="116">
        <v>-3.6511565643059924</v>
      </c>
      <c r="F222" s="116">
        <v>-8.1320756228816258</v>
      </c>
      <c r="G222" s="116">
        <v>-7.7096163335446537</v>
      </c>
      <c r="H222" s="116">
        <v>13.729512861064945</v>
      </c>
      <c r="I222" s="116">
        <v>11.779387877865938</v>
      </c>
      <c r="J222" s="116">
        <v>0.35121803254062278</v>
      </c>
      <c r="K222" s="116">
        <v>-7.7753482553185167</v>
      </c>
      <c r="L222" s="116">
        <v>-7.7451863676068919</v>
      </c>
      <c r="M222" s="116">
        <v>-0.90193559865561734</v>
      </c>
      <c r="N222" s="116">
        <v>0</v>
      </c>
      <c r="O222" s="266">
        <v>60.857929638631383</v>
      </c>
    </row>
    <row r="223" spans="1:17" s="77" customFormat="1" ht="14.4" x14ac:dyDescent="0.3">
      <c r="A223" s="67"/>
      <c r="B223" s="115" t="s">
        <v>143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144</v>
      </c>
      <c r="C224" s="103">
        <v>0.3110620733333333</v>
      </c>
      <c r="D224" s="103">
        <v>0.50391065333333329</v>
      </c>
      <c r="E224" s="103">
        <v>0.56689792000000006</v>
      </c>
      <c r="F224" s="103">
        <v>0.20992520666666667</v>
      </c>
      <c r="G224" s="103">
        <v>0.20655029666666666</v>
      </c>
      <c r="H224" s="103">
        <v>2.8721846666666669E-2</v>
      </c>
      <c r="I224" s="103">
        <v>8.6845556666666671E-2</v>
      </c>
      <c r="J224" s="103">
        <v>2.9592013166666669</v>
      </c>
      <c r="K224" s="103">
        <v>1.7900426333333335</v>
      </c>
      <c r="L224" s="103">
        <v>1.4162369499999998</v>
      </c>
      <c r="M224" s="103">
        <v>3.8759340233333335</v>
      </c>
      <c r="N224" s="103">
        <v>0</v>
      </c>
      <c r="O224" s="104">
        <v>11.955328476666669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v>45.830085967826022</v>
      </c>
      <c r="D226" s="119">
        <v>7.0854210656568277</v>
      </c>
      <c r="E226" s="119">
        <v>-27.001842961634615</v>
      </c>
      <c r="F226" s="119">
        <v>22.076286680873</v>
      </c>
      <c r="G226" s="119">
        <v>-30.459623888894917</v>
      </c>
      <c r="H226" s="119">
        <v>11.502432855725308</v>
      </c>
      <c r="I226" s="119">
        <v>-4.3999219740689917</v>
      </c>
      <c r="J226" s="119">
        <v>38.034983440824149</v>
      </c>
      <c r="K226" s="119">
        <v>1.7117985059739489</v>
      </c>
      <c r="L226" s="119">
        <v>-46.301234816022308</v>
      </c>
      <c r="M226" s="119">
        <v>2.5481273996050788</v>
      </c>
      <c r="N226" s="119">
        <v>0</v>
      </c>
      <c r="O226" s="119">
        <v>20.626512275863547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491" t="s">
        <v>376</v>
      </c>
      <c r="C228" s="491"/>
      <c r="D228" s="491"/>
      <c r="E228" s="491"/>
      <c r="F228" s="491"/>
      <c r="G228" s="491"/>
      <c r="H228" s="491"/>
      <c r="I228" s="491"/>
      <c r="J228" s="491"/>
      <c r="K228" s="491"/>
      <c r="L228" s="491"/>
      <c r="M228" s="491"/>
      <c r="N228" s="491"/>
      <c r="O228" s="491"/>
    </row>
    <row r="229" spans="1:22" s="77" customFormat="1" ht="14.4" x14ac:dyDescent="0.3">
      <c r="A229" s="67"/>
      <c r="B229" s="491" t="s">
        <v>371</v>
      </c>
      <c r="C229" s="491"/>
      <c r="D229" s="491"/>
      <c r="E229" s="491"/>
      <c r="F229" s="491"/>
      <c r="G229" s="491"/>
      <c r="H229" s="491"/>
      <c r="I229" s="491"/>
      <c r="J229" s="491"/>
      <c r="K229" s="491"/>
      <c r="L229" s="491"/>
      <c r="M229" s="491"/>
      <c r="N229" s="491"/>
      <c r="O229" s="491"/>
    </row>
    <row r="230" spans="1:22" s="77" customFormat="1" ht="14.4" x14ac:dyDescent="0.3">
      <c r="A230" s="67"/>
      <c r="B230" s="492" t="s">
        <v>95</v>
      </c>
      <c r="C230" s="492"/>
      <c r="D230" s="492"/>
      <c r="E230" s="492"/>
      <c r="F230" s="492"/>
      <c r="G230" s="492"/>
      <c r="H230" s="492"/>
      <c r="I230" s="492"/>
      <c r="J230" s="492"/>
      <c r="K230" s="492"/>
      <c r="L230" s="492"/>
      <c r="M230" s="492"/>
      <c r="N230" s="492"/>
      <c r="O230" s="492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493" t="s">
        <v>96</v>
      </c>
      <c r="C232" s="500" t="s">
        <v>372</v>
      </c>
      <c r="D232" s="501"/>
      <c r="E232" s="501"/>
      <c r="F232" s="501"/>
      <c r="G232" s="501"/>
      <c r="H232" s="501"/>
      <c r="I232" s="501"/>
      <c r="J232" s="501"/>
      <c r="K232" s="501"/>
      <c r="L232" s="501"/>
      <c r="M232" s="501"/>
      <c r="N232" s="502"/>
      <c r="O232" s="498" t="s">
        <v>373</v>
      </c>
    </row>
    <row r="233" spans="1:22" s="77" customFormat="1" ht="14.4" x14ac:dyDescent="0.3">
      <c r="A233" s="67"/>
      <c r="B233" s="494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499"/>
    </row>
    <row r="234" spans="1:22" s="77" customFormat="1" ht="14.4" x14ac:dyDescent="0.3">
      <c r="A234" s="67"/>
      <c r="B234" s="80" t="s">
        <v>97</v>
      </c>
      <c r="C234" s="81">
        <v>24.895127099894527</v>
      </c>
      <c r="D234" s="81">
        <v>28.350826123813704</v>
      </c>
      <c r="E234" s="81">
        <v>31.189894730887456</v>
      </c>
      <c r="F234" s="81">
        <v>30.384617229077087</v>
      </c>
      <c r="G234" s="81">
        <v>31.303377080686914</v>
      </c>
      <c r="H234" s="81">
        <v>32.92861350405596</v>
      </c>
      <c r="I234" s="81">
        <v>34.645611632013647</v>
      </c>
      <c r="J234" s="81">
        <v>32.881849722327445</v>
      </c>
      <c r="K234" s="81">
        <v>35.201298340351315</v>
      </c>
      <c r="L234" s="81">
        <v>36.586405906667537</v>
      </c>
      <c r="M234" s="81">
        <v>36.380113884481318</v>
      </c>
      <c r="N234" s="81">
        <v>0</v>
      </c>
      <c r="O234" s="81">
        <v>354.7477352542569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v>24.379246141853827</v>
      </c>
      <c r="D236" s="85">
        <v>27.780990540442502</v>
      </c>
      <c r="E236" s="85">
        <v>30.375742474039107</v>
      </c>
      <c r="F236" s="85">
        <v>29.750114735579238</v>
      </c>
      <c r="G236" s="85">
        <v>30.6282634218807</v>
      </c>
      <c r="H236" s="85">
        <v>32.253951578796269</v>
      </c>
      <c r="I236" s="85">
        <v>33.933557827175513</v>
      </c>
      <c r="J236" s="85">
        <v>32.173007640481515</v>
      </c>
      <c r="K236" s="85">
        <v>34.397154112123189</v>
      </c>
      <c r="L236" s="85">
        <v>35.814827312829891</v>
      </c>
      <c r="M236" s="85">
        <v>35.5856585277918</v>
      </c>
      <c r="N236" s="85">
        <v>0</v>
      </c>
      <c r="O236" s="85">
        <v>347.07251431299352</v>
      </c>
    </row>
    <row r="237" spans="1:22" s="77" customFormat="1" ht="14.4" x14ac:dyDescent="0.3">
      <c r="A237" s="67"/>
      <c r="B237" s="86" t="s">
        <v>99</v>
      </c>
      <c r="C237" s="87">
        <v>2.8512062665397511</v>
      </c>
      <c r="D237" s="87">
        <v>2.7224611061194417</v>
      </c>
      <c r="E237" s="87">
        <v>3.4969581336006872</v>
      </c>
      <c r="F237" s="87">
        <v>3.5831752699377373</v>
      </c>
      <c r="G237" s="87">
        <v>2.685802034929734</v>
      </c>
      <c r="H237" s="87">
        <v>2.9232120572490889</v>
      </c>
      <c r="I237" s="87">
        <v>2.1326419871458646</v>
      </c>
      <c r="J237" s="87">
        <v>1.5233330489921293</v>
      </c>
      <c r="K237" s="87">
        <v>2.0672761352384641</v>
      </c>
      <c r="L237" s="87">
        <v>1.7319996262879529</v>
      </c>
      <c r="M237" s="87">
        <v>1.724061901462582</v>
      </c>
      <c r="N237" s="87">
        <v>0</v>
      </c>
      <c r="O237" s="88">
        <v>27.442127567503434</v>
      </c>
    </row>
    <row r="238" spans="1:22" s="77" customFormat="1" ht="14.4" x14ac:dyDescent="0.3">
      <c r="A238" s="67"/>
      <c r="B238" s="86" t="s">
        <v>100</v>
      </c>
      <c r="C238" s="87">
        <v>0</v>
      </c>
      <c r="D238" s="87">
        <v>3.0832542730405073</v>
      </c>
      <c r="E238" s="87">
        <v>3.4070077560668248</v>
      </c>
      <c r="F238" s="87">
        <v>3.445242903505469</v>
      </c>
      <c r="G238" s="87">
        <v>3.2762616954800703</v>
      </c>
      <c r="H238" s="87">
        <v>3.7303920585794863</v>
      </c>
      <c r="I238" s="87">
        <v>5.594389327325878</v>
      </c>
      <c r="J238" s="87">
        <v>4.8382302618493291</v>
      </c>
      <c r="K238" s="87">
        <v>1.6850997408340527</v>
      </c>
      <c r="L238" s="87">
        <v>4.2980324818054259</v>
      </c>
      <c r="M238" s="87">
        <v>4.2554715286592755</v>
      </c>
      <c r="N238" s="87">
        <v>0</v>
      </c>
      <c r="O238" s="88">
        <v>37.613382027146322</v>
      </c>
    </row>
    <row r="239" spans="1:22" s="77" customFormat="1" ht="14.4" x14ac:dyDescent="0.3">
      <c r="A239" s="67"/>
      <c r="B239" s="86" t="s">
        <v>101</v>
      </c>
      <c r="C239" s="87">
        <v>0.84703106291751351</v>
      </c>
      <c r="D239" s="87">
        <v>0.9919264296828747</v>
      </c>
      <c r="E239" s="87">
        <v>0.97065676654169109</v>
      </c>
      <c r="F239" s="87">
        <v>0.98538827739003187</v>
      </c>
      <c r="G239" s="87">
        <v>0.9967221871982207</v>
      </c>
      <c r="H239" s="87">
        <v>1.0946013731098729</v>
      </c>
      <c r="I239" s="87">
        <v>1.0600415418318883</v>
      </c>
      <c r="J239" s="87">
        <v>1.1772492865267146</v>
      </c>
      <c r="K239" s="87">
        <v>3.4378861669514968</v>
      </c>
      <c r="L239" s="87">
        <v>1.6181695261890396</v>
      </c>
      <c r="M239" s="87">
        <v>2.7848318966672303</v>
      </c>
      <c r="N239" s="87">
        <v>0</v>
      </c>
      <c r="O239" s="88">
        <v>15.964504515006574</v>
      </c>
    </row>
    <row r="240" spans="1:22" s="77" customFormat="1" ht="14.4" x14ac:dyDescent="0.3">
      <c r="A240" s="67"/>
      <c r="B240" s="86" t="s">
        <v>102</v>
      </c>
      <c r="C240" s="87">
        <v>0.93720238189567184</v>
      </c>
      <c r="D240" s="87">
        <v>0.79892333691356487</v>
      </c>
      <c r="E240" s="87">
        <v>0.87920617404502566</v>
      </c>
      <c r="F240" s="87">
        <v>0.92168958832853143</v>
      </c>
      <c r="G240" s="87">
        <v>0.90988971169720823</v>
      </c>
      <c r="H240" s="87">
        <v>0.94698022452201969</v>
      </c>
      <c r="I240" s="87">
        <v>0.98327892075614209</v>
      </c>
      <c r="J240" s="87">
        <v>1.0379345632404025</v>
      </c>
      <c r="K240" s="87">
        <v>0.99945372011487177</v>
      </c>
      <c r="L240" s="87">
        <v>1.0920808155840755</v>
      </c>
      <c r="M240" s="87">
        <v>1.1017875024681956</v>
      </c>
      <c r="N240" s="87">
        <v>0</v>
      </c>
      <c r="O240" s="88">
        <v>10.608426939565708</v>
      </c>
    </row>
    <row r="241" spans="1:15" s="77" customFormat="1" ht="14.4" x14ac:dyDescent="0.3">
      <c r="A241" s="67"/>
      <c r="B241" s="86" t="s">
        <v>103</v>
      </c>
      <c r="C241" s="87">
        <v>7.5231320537161386</v>
      </c>
      <c r="D241" s="87">
        <v>7.9396916857727113</v>
      </c>
      <c r="E241" s="87">
        <v>7.6878684892379336</v>
      </c>
      <c r="F241" s="87">
        <v>8.0500113437776388</v>
      </c>
      <c r="G241" s="87">
        <v>8.5879150869211127</v>
      </c>
      <c r="H241" s="87">
        <v>9.1041283894492491</v>
      </c>
      <c r="I241" s="87">
        <v>8.6035042894907985</v>
      </c>
      <c r="J241" s="87">
        <v>8.8989874945467662</v>
      </c>
      <c r="K241" s="87">
        <v>9.7986585107207684</v>
      </c>
      <c r="L241" s="87">
        <v>9.8190200778212855</v>
      </c>
      <c r="M241" s="87">
        <v>9.0904305608445455</v>
      </c>
      <c r="N241" s="87">
        <v>0</v>
      </c>
      <c r="O241" s="88">
        <v>95.103347982298942</v>
      </c>
    </row>
    <row r="242" spans="1:15" s="77" customFormat="1" ht="14.4" x14ac:dyDescent="0.3">
      <c r="A242" s="67"/>
      <c r="B242" s="86" t="s">
        <v>104</v>
      </c>
      <c r="C242" s="87">
        <v>12.220674376784753</v>
      </c>
      <c r="D242" s="87">
        <v>12.244733708913405</v>
      </c>
      <c r="E242" s="87">
        <v>13.934045154546943</v>
      </c>
      <c r="F242" s="87">
        <v>12.76460735263983</v>
      </c>
      <c r="G242" s="87">
        <v>14.171672705654355</v>
      </c>
      <c r="H242" s="87">
        <v>14.454637475886551</v>
      </c>
      <c r="I242" s="87">
        <v>15.559701760624938</v>
      </c>
      <c r="J242" s="87">
        <v>14.697272985326171</v>
      </c>
      <c r="K242" s="87">
        <v>16.408779838263534</v>
      </c>
      <c r="L242" s="87">
        <v>17.255524785142114</v>
      </c>
      <c r="M242" s="87">
        <v>16.629075137689973</v>
      </c>
      <c r="N242" s="87">
        <v>0</v>
      </c>
      <c r="O242" s="88">
        <v>160.34072528147254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v>0.51588095804069878</v>
      </c>
      <c r="D244" s="85">
        <v>0.5698355833712011</v>
      </c>
      <c r="E244" s="85">
        <v>0.81415225684834946</v>
      </c>
      <c r="F244" s="85">
        <v>0.63450249349785004</v>
      </c>
      <c r="G244" s="85">
        <v>0.67511365880621599</v>
      </c>
      <c r="H244" s="85">
        <v>0.67466192525969015</v>
      </c>
      <c r="I244" s="85">
        <v>0.71205380483813441</v>
      </c>
      <c r="J244" s="85">
        <v>0.70884208184593323</v>
      </c>
      <c r="K244" s="85">
        <v>0.80414422822812248</v>
      </c>
      <c r="L244" s="85">
        <v>0.77157859383764404</v>
      </c>
      <c r="M244" s="85">
        <v>0.79445535668951517</v>
      </c>
      <c r="N244" s="85">
        <v>0</v>
      </c>
      <c r="O244" s="85">
        <v>7.6752209412633539</v>
      </c>
    </row>
    <row r="245" spans="1:15" s="77" customFormat="1" ht="14.4" x14ac:dyDescent="0.3">
      <c r="A245" s="67"/>
      <c r="B245" s="86" t="s">
        <v>106</v>
      </c>
      <c r="C245" s="87">
        <v>0.50392688773978889</v>
      </c>
      <c r="D245" s="87">
        <v>0.55613431238897837</v>
      </c>
      <c r="E245" s="87">
        <v>0.79413547756554193</v>
      </c>
      <c r="F245" s="87">
        <v>0.61366058549998681</v>
      </c>
      <c r="G245" s="87">
        <v>0.62953179377662283</v>
      </c>
      <c r="H245" s="87">
        <v>0.65561624012267672</v>
      </c>
      <c r="I245" s="87">
        <v>0.68827575198092161</v>
      </c>
      <c r="J245" s="87">
        <v>0.68189463299350017</v>
      </c>
      <c r="K245" s="87">
        <v>0.77440704064553645</v>
      </c>
      <c r="L245" s="87">
        <v>0.70473573603755524</v>
      </c>
      <c r="M245" s="87">
        <v>0.75196863769710309</v>
      </c>
      <c r="N245" s="87">
        <v>0</v>
      </c>
      <c r="O245" s="88">
        <v>7.3542870964482114</v>
      </c>
    </row>
    <row r="246" spans="1:15" s="77" customFormat="1" ht="14.4" x14ac:dyDescent="0.3">
      <c r="A246" s="67"/>
      <c r="B246" s="86" t="s">
        <v>107</v>
      </c>
      <c r="C246" s="87">
        <v>1.1954070300909846E-2</v>
      </c>
      <c r="D246" s="87">
        <v>1.3701270982222773E-2</v>
      </c>
      <c r="E246" s="87">
        <v>2.0016779282807502E-2</v>
      </c>
      <c r="F246" s="87">
        <v>2.0841907997863268E-2</v>
      </c>
      <c r="G246" s="87">
        <v>4.5581865029593154E-2</v>
      </c>
      <c r="H246" s="87">
        <v>1.90456851370134E-2</v>
      </c>
      <c r="I246" s="87">
        <v>2.3778052857212795E-2</v>
      </c>
      <c r="J246" s="87">
        <v>2.6947448852433054E-2</v>
      </c>
      <c r="K246" s="87">
        <v>2.9737187582586023E-2</v>
      </c>
      <c r="L246" s="87">
        <v>6.6842857800088834E-2</v>
      </c>
      <c r="M246" s="87">
        <v>4.2486718992412062E-2</v>
      </c>
      <c r="N246" s="87">
        <v>0</v>
      </c>
      <c r="O246" s="88">
        <v>0.32093384481514275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v>54.363086845852422</v>
      </c>
      <c r="D248" s="96">
        <v>55.801542018324511</v>
      </c>
      <c r="E248" s="96">
        <v>51.664095462350211</v>
      </c>
      <c r="F248" s="96">
        <v>70.339495796482538</v>
      </c>
      <c r="G248" s="96">
        <v>59.549841741058522</v>
      </c>
      <c r="H248" s="96">
        <v>65.977144609419909</v>
      </c>
      <c r="I248" s="96">
        <v>64.979839544037915</v>
      </c>
      <c r="J248" s="96">
        <v>68.703443768798394</v>
      </c>
      <c r="K248" s="96">
        <v>68.063306860710213</v>
      </c>
      <c r="L248" s="96">
        <v>77.93650264738389</v>
      </c>
      <c r="M248" s="96">
        <v>72.229989403714399</v>
      </c>
      <c r="N248" s="96">
        <v>0</v>
      </c>
      <c r="O248" s="96">
        <v>709.60828869813292</v>
      </c>
    </row>
    <row r="249" spans="1:15" s="77" customFormat="1" ht="14.4" x14ac:dyDescent="0.3">
      <c r="A249" s="67"/>
      <c r="B249" s="97" t="s">
        <v>109</v>
      </c>
      <c r="C249" s="98">
        <v>48.16398297300163</v>
      </c>
      <c r="D249" s="98">
        <v>49.895649811029273</v>
      </c>
      <c r="E249" s="98">
        <v>45.671947438621793</v>
      </c>
      <c r="F249" s="98">
        <v>63.163847933698875</v>
      </c>
      <c r="G249" s="98">
        <v>53.108273711939688</v>
      </c>
      <c r="H249" s="98">
        <v>57.796240812079695</v>
      </c>
      <c r="I249" s="98">
        <v>56.690336721914754</v>
      </c>
      <c r="J249" s="98">
        <v>60.840531248578422</v>
      </c>
      <c r="K249" s="98">
        <v>61.272229270046957</v>
      </c>
      <c r="L249" s="98">
        <v>69.071379038535284</v>
      </c>
      <c r="M249" s="98">
        <v>64.425743160129556</v>
      </c>
      <c r="N249" s="98">
        <v>0</v>
      </c>
      <c r="O249" s="98">
        <v>630.10016211957588</v>
      </c>
    </row>
    <row r="250" spans="1:15" s="77" customFormat="1" ht="14.4" x14ac:dyDescent="0.3">
      <c r="A250" s="67"/>
      <c r="B250" s="86" t="s">
        <v>110</v>
      </c>
      <c r="C250" s="87">
        <v>16.326895792597796</v>
      </c>
      <c r="D250" s="87">
        <v>21.066388314160392</v>
      </c>
      <c r="E250" s="87">
        <v>20.127521066211095</v>
      </c>
      <c r="F250" s="87">
        <v>25.779468244730833</v>
      </c>
      <c r="G250" s="87">
        <v>15.45142404752897</v>
      </c>
      <c r="H250" s="87">
        <v>17.384352705869706</v>
      </c>
      <c r="I250" s="87">
        <v>16.222304772008449</v>
      </c>
      <c r="J250" s="87">
        <v>19.773560789542607</v>
      </c>
      <c r="K250" s="87">
        <v>22.936654592564899</v>
      </c>
      <c r="L250" s="87">
        <v>39.832201943600261</v>
      </c>
      <c r="M250" s="87">
        <v>32.669861590901142</v>
      </c>
      <c r="N250" s="87">
        <v>0</v>
      </c>
      <c r="O250" s="88">
        <v>247.57063385971617</v>
      </c>
    </row>
    <row r="251" spans="1:15" s="77" customFormat="1" ht="14.4" x14ac:dyDescent="0.3">
      <c r="A251" s="67"/>
      <c r="B251" s="86" t="s">
        <v>111</v>
      </c>
      <c r="C251" s="87">
        <v>26.01</v>
      </c>
      <c r="D251" s="87">
        <v>23.347972633727828</v>
      </c>
      <c r="E251" s="87">
        <v>19.684394864990704</v>
      </c>
      <c r="F251" s="87">
        <v>29.772936152907686</v>
      </c>
      <c r="G251" s="87">
        <v>32.175737665867977</v>
      </c>
      <c r="H251" s="87">
        <v>35.051349573561822</v>
      </c>
      <c r="I251" s="87">
        <v>34.286560976093703</v>
      </c>
      <c r="J251" s="87">
        <v>35.207526956462942</v>
      </c>
      <c r="K251" s="87">
        <v>30.78243632135554</v>
      </c>
      <c r="L251" s="87">
        <v>22.495425204819998</v>
      </c>
      <c r="M251" s="87">
        <v>24.5736171938116</v>
      </c>
      <c r="N251" s="87">
        <v>0</v>
      </c>
      <c r="O251" s="88">
        <v>313.38795754359978</v>
      </c>
    </row>
    <row r="252" spans="1:15" s="77" customFormat="1" ht="14.4" x14ac:dyDescent="0.3">
      <c r="A252" s="67"/>
      <c r="B252" s="86" t="s">
        <v>112</v>
      </c>
      <c r="C252" s="87">
        <v>5.4625464570285374</v>
      </c>
      <c r="D252" s="87">
        <v>4.876961847223372</v>
      </c>
      <c r="E252" s="87">
        <v>5.1612669483663396</v>
      </c>
      <c r="F252" s="87">
        <v>7.0494685251924665</v>
      </c>
      <c r="G252" s="87">
        <v>5.1964916558073053</v>
      </c>
      <c r="H252" s="87">
        <v>4.9771401913317588</v>
      </c>
      <c r="I252" s="87">
        <v>5.9297501751855872</v>
      </c>
      <c r="J252" s="87">
        <v>5.3544065030300043</v>
      </c>
      <c r="K252" s="87">
        <v>6.0611534354212804</v>
      </c>
      <c r="L252" s="87">
        <v>4.8595363412516548</v>
      </c>
      <c r="M252" s="87">
        <v>5.5536242556289732</v>
      </c>
      <c r="N252" s="87">
        <v>0</v>
      </c>
      <c r="O252" s="88">
        <v>60.482346335467284</v>
      </c>
    </row>
    <row r="253" spans="1:15" s="77" customFormat="1" ht="14.4" x14ac:dyDescent="0.3">
      <c r="A253" s="67"/>
      <c r="B253" s="86" t="s">
        <v>113</v>
      </c>
      <c r="C253" s="87">
        <v>0.36454072337529303</v>
      </c>
      <c r="D253" s="87">
        <v>0.60432701591768045</v>
      </c>
      <c r="E253" s="87">
        <v>0.6987645590536572</v>
      </c>
      <c r="F253" s="87">
        <v>0.56197501086788859</v>
      </c>
      <c r="G253" s="87">
        <v>0.28462034273543796</v>
      </c>
      <c r="H253" s="87">
        <v>0.38339834131641171</v>
      </c>
      <c r="I253" s="87">
        <v>0.25172079862701024</v>
      </c>
      <c r="J253" s="87">
        <v>0.50503699954286951</v>
      </c>
      <c r="K253" s="87">
        <v>1.491984920705236</v>
      </c>
      <c r="L253" s="87">
        <v>1.8842155488633674</v>
      </c>
      <c r="M253" s="87">
        <v>1.6286401197878404</v>
      </c>
      <c r="N253" s="87">
        <v>0</v>
      </c>
      <c r="O253" s="88">
        <v>8.6592243807926934</v>
      </c>
    </row>
    <row r="254" spans="1:15" s="77" customFormat="1" ht="14.4" hidden="1" x14ac:dyDescent="0.3">
      <c r="A254" s="67"/>
      <c r="B254" s="86" t="s">
        <v>257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v>6.1857727383739372</v>
      </c>
      <c r="D256" s="98">
        <v>5.8805349685352724</v>
      </c>
      <c r="E256" s="98">
        <v>5.9467511099739259</v>
      </c>
      <c r="F256" s="98">
        <v>7.114638902034276</v>
      </c>
      <c r="G256" s="98">
        <v>6.4073875833496956</v>
      </c>
      <c r="H256" s="98">
        <v>8.0505971552258355</v>
      </c>
      <c r="I256" s="98">
        <v>8.1761430092524598</v>
      </c>
      <c r="J256" s="98">
        <v>7.7575484897112812</v>
      </c>
      <c r="K256" s="98">
        <v>6.6898311025564228</v>
      </c>
      <c r="L256" s="98">
        <v>8.7675371875337298</v>
      </c>
      <c r="M256" s="98">
        <v>7.6436714152985799</v>
      </c>
      <c r="N256" s="98">
        <v>0</v>
      </c>
      <c r="O256" s="98">
        <v>78.620413661845404</v>
      </c>
    </row>
    <row r="257" spans="1:15" s="77" customFormat="1" ht="14.4" x14ac:dyDescent="0.3">
      <c r="A257" s="67"/>
      <c r="B257" s="86" t="s">
        <v>267</v>
      </c>
      <c r="C257" s="87">
        <v>5.3951044789174443</v>
      </c>
      <c r="D257" s="87">
        <v>5.3250967416449786</v>
      </c>
      <c r="E257" s="87">
        <v>5.2538964845313805</v>
      </c>
      <c r="F257" s="87">
        <v>6.0693909446288306</v>
      </c>
      <c r="G257" s="87">
        <v>5.4893346938100827</v>
      </c>
      <c r="H257" s="87">
        <v>7.1759422213780821</v>
      </c>
      <c r="I257" s="87">
        <v>7.024578552720838</v>
      </c>
      <c r="J257" s="87">
        <v>6.7265582628808946</v>
      </c>
      <c r="K257" s="87">
        <v>5.859377982522596</v>
      </c>
      <c r="L257" s="87">
        <v>6.9175562266761741</v>
      </c>
      <c r="M257" s="87">
        <v>6.3605491738596927</v>
      </c>
      <c r="N257" s="87">
        <v>0</v>
      </c>
      <c r="O257" s="88">
        <v>67.597385763570983</v>
      </c>
    </row>
    <row r="258" spans="1:15" s="77" customFormat="1" ht="14.4" x14ac:dyDescent="0.3">
      <c r="A258" s="67"/>
      <c r="B258" s="86" t="s">
        <v>115</v>
      </c>
      <c r="C258" s="87">
        <v>2.2687922356855581</v>
      </c>
      <c r="D258" s="87">
        <v>2.3411117015050742</v>
      </c>
      <c r="E258" s="87">
        <v>2.6242323410232578</v>
      </c>
      <c r="F258" s="87">
        <v>2.1744706917236609</v>
      </c>
      <c r="G258" s="87">
        <v>2.2805063864200106</v>
      </c>
      <c r="H258" s="87">
        <v>3.4202138105724562</v>
      </c>
      <c r="I258" s="87">
        <v>2.9660637124184381</v>
      </c>
      <c r="J258" s="87">
        <v>3.4587501038935282</v>
      </c>
      <c r="K258" s="87">
        <v>2.3587365443365811</v>
      </c>
      <c r="L258" s="87">
        <v>2.1872382810661413</v>
      </c>
      <c r="M258" s="87">
        <v>2.2553409822713038</v>
      </c>
      <c r="N258" s="87">
        <v>0</v>
      </c>
      <c r="O258" s="88">
        <v>28.335456790916009</v>
      </c>
    </row>
    <row r="259" spans="1:15" s="77" customFormat="1" ht="14.4" x14ac:dyDescent="0.3">
      <c r="A259" s="67"/>
      <c r="B259" s="86" t="s">
        <v>116</v>
      </c>
      <c r="C259" s="87">
        <v>2.4432522020700951</v>
      </c>
      <c r="D259" s="87">
        <v>2.1449693119070243</v>
      </c>
      <c r="E259" s="87">
        <v>1.4402521753887607</v>
      </c>
      <c r="F259" s="87">
        <v>2.7006823307908538</v>
      </c>
      <c r="G259" s="87">
        <v>2.2177270485792486</v>
      </c>
      <c r="H259" s="87">
        <v>2.7456945898350655</v>
      </c>
      <c r="I259" s="87">
        <v>3.4793090963290876</v>
      </c>
      <c r="J259" s="87">
        <v>2.6918938761066871</v>
      </c>
      <c r="K259" s="87">
        <v>3.0503120424954635</v>
      </c>
      <c r="L259" s="87">
        <v>3.9645880074176172</v>
      </c>
      <c r="M259" s="87">
        <v>3.4127669885898846</v>
      </c>
      <c r="N259" s="87">
        <v>0</v>
      </c>
      <c r="O259" s="88">
        <v>30.291447669509786</v>
      </c>
    </row>
    <row r="260" spans="1:15" s="77" customFormat="1" ht="14.4" x14ac:dyDescent="0.3">
      <c r="A260" s="67"/>
      <c r="B260" s="86" t="s">
        <v>117</v>
      </c>
      <c r="C260" s="87">
        <v>0.19240856096661607</v>
      </c>
      <c r="D260" s="87">
        <v>0.25199587843048155</v>
      </c>
      <c r="E260" s="87">
        <v>0.28103446924204289</v>
      </c>
      <c r="F260" s="87">
        <v>0.4257463221038067</v>
      </c>
      <c r="G260" s="87">
        <v>0.32010005775372574</v>
      </c>
      <c r="H260" s="87">
        <v>0.33995147551544141</v>
      </c>
      <c r="I260" s="87">
        <v>0.34818090150291281</v>
      </c>
      <c r="J260" s="87">
        <v>0.2782386080140869</v>
      </c>
      <c r="K260" s="87">
        <v>0.19319627777092618</v>
      </c>
      <c r="L260" s="87">
        <v>0.49428195972332573</v>
      </c>
      <c r="M260" s="87">
        <v>0.41749119206792468</v>
      </c>
      <c r="N260" s="87">
        <v>0</v>
      </c>
      <c r="O260" s="88">
        <v>3.5426257030912911</v>
      </c>
    </row>
    <row r="261" spans="1:15" s="77" customFormat="1" ht="14.4" x14ac:dyDescent="0.3">
      <c r="A261" s="67"/>
      <c r="B261" s="86" t="s">
        <v>120</v>
      </c>
      <c r="C261" s="87">
        <v>0.49065148019517546</v>
      </c>
      <c r="D261" s="87">
        <v>0.58701984980239874</v>
      </c>
      <c r="E261" s="87">
        <v>0.90837749887731978</v>
      </c>
      <c r="F261" s="87">
        <v>0.76849160001050854</v>
      </c>
      <c r="G261" s="87">
        <v>0.6710012010570986</v>
      </c>
      <c r="H261" s="87">
        <v>0.67008234545511836</v>
      </c>
      <c r="I261" s="87">
        <v>0.23102484247039984</v>
      </c>
      <c r="J261" s="87">
        <v>0.29767567486659308</v>
      </c>
      <c r="K261" s="87">
        <v>0.25713311791962506</v>
      </c>
      <c r="L261" s="87">
        <v>0.27144797846909002</v>
      </c>
      <c r="M261" s="87">
        <v>0.27495001093058025</v>
      </c>
      <c r="N261" s="87">
        <v>0</v>
      </c>
      <c r="O261" s="88">
        <v>5.4278556000539071</v>
      </c>
    </row>
    <row r="262" spans="1:15" s="77" customFormat="1" ht="14.4" x14ac:dyDescent="0.3">
      <c r="A262" s="67"/>
      <c r="B262" s="86" t="s">
        <v>268</v>
      </c>
      <c r="C262" s="87">
        <v>0.79066825945649277</v>
      </c>
      <c r="D262" s="87">
        <v>0.55543822689029343</v>
      </c>
      <c r="E262" s="87">
        <v>0.69285462544254495</v>
      </c>
      <c r="F262" s="87">
        <v>1.0452479574054454</v>
      </c>
      <c r="G262" s="87">
        <v>0.91805288953961339</v>
      </c>
      <c r="H262" s="87">
        <v>0.87465493384775361</v>
      </c>
      <c r="I262" s="87">
        <v>1.1515644565316214</v>
      </c>
      <c r="J262" s="87">
        <v>1.0309902268303861</v>
      </c>
      <c r="K262" s="87">
        <v>0.8304531200338271</v>
      </c>
      <c r="L262" s="87">
        <v>1.8499809608575561</v>
      </c>
      <c r="M262" s="87">
        <v>1.2831222414388874</v>
      </c>
      <c r="N262" s="87">
        <v>0</v>
      </c>
      <c r="O262" s="88">
        <v>11.023027898274423</v>
      </c>
    </row>
    <row r="263" spans="1:15" s="77" customFormat="1" ht="14.4" x14ac:dyDescent="0.3">
      <c r="A263" s="67"/>
      <c r="B263" s="86" t="s">
        <v>118</v>
      </c>
      <c r="C263" s="87">
        <v>7.5398643375952937E-2</v>
      </c>
      <c r="D263" s="87">
        <v>0</v>
      </c>
      <c r="E263" s="87">
        <v>5.3450941832979999E-2</v>
      </c>
      <c r="F263" s="87">
        <v>0.38040860648200858</v>
      </c>
      <c r="G263" s="87">
        <v>0.25868599179125712</v>
      </c>
      <c r="H263" s="87">
        <v>0.17260152155418393</v>
      </c>
      <c r="I263" s="87">
        <v>0.40079290382476973</v>
      </c>
      <c r="J263" s="87">
        <v>0.17589843400689603</v>
      </c>
      <c r="K263" s="87">
        <v>9.8164723303793236E-2</v>
      </c>
      <c r="L263" s="87">
        <v>0.61400606220394571</v>
      </c>
      <c r="M263" s="87">
        <v>0.2076629587317706</v>
      </c>
      <c r="N263" s="87">
        <v>0</v>
      </c>
      <c r="O263" s="88">
        <v>2.4370707871075581</v>
      </c>
    </row>
    <row r="264" spans="1:15" s="77" customFormat="1" ht="14.4" x14ac:dyDescent="0.3">
      <c r="A264" s="67"/>
      <c r="B264" s="86" t="s">
        <v>119</v>
      </c>
      <c r="C264" s="87">
        <v>0.71526961608053985</v>
      </c>
      <c r="D264" s="87">
        <v>0.55543822689029343</v>
      </c>
      <c r="E264" s="87">
        <v>0.6394036836095649</v>
      </c>
      <c r="F264" s="87">
        <v>0.66483935092343671</v>
      </c>
      <c r="G264" s="87">
        <v>0.65936689774835622</v>
      </c>
      <c r="H264" s="87">
        <v>0.70205341229356966</v>
      </c>
      <c r="I264" s="87">
        <v>0.75077155270685159</v>
      </c>
      <c r="J264" s="87">
        <v>0.85509179282349002</v>
      </c>
      <c r="K264" s="87">
        <v>0.73228839673003387</v>
      </c>
      <c r="L264" s="87">
        <v>1.2359748986536105</v>
      </c>
      <c r="M264" s="87">
        <v>1.0754592827071168</v>
      </c>
      <c r="N264" s="87">
        <v>0</v>
      </c>
      <c r="O264" s="88">
        <v>8.5859571111668647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v>1.33311344768557E-2</v>
      </c>
      <c r="D266" s="102">
        <v>2.5357238759965796E-2</v>
      </c>
      <c r="E266" s="102">
        <v>4.5396913754494186E-2</v>
      </c>
      <c r="F266" s="102">
        <v>6.1008960749393513E-2</v>
      </c>
      <c r="G266" s="102">
        <v>3.4180445769138083E-2</v>
      </c>
      <c r="H266" s="102">
        <v>0.13030664211437235</v>
      </c>
      <c r="I266" s="102">
        <v>0.11335981287069362</v>
      </c>
      <c r="J266" s="102">
        <v>0.10536403050869872</v>
      </c>
      <c r="K266" s="102">
        <v>0.10124648810683816</v>
      </c>
      <c r="L266" s="102">
        <v>9.7586421314875577E-2</v>
      </c>
      <c r="M266" s="102">
        <v>0.16057482828625774</v>
      </c>
      <c r="N266" s="102">
        <v>0</v>
      </c>
      <c r="O266" s="102">
        <v>0.88771291671158337</v>
      </c>
    </row>
    <row r="267" spans="1:15" s="77" customFormat="1" ht="14.4" x14ac:dyDescent="0.3">
      <c r="A267" s="67"/>
      <c r="B267" s="86" t="s">
        <v>73</v>
      </c>
      <c r="C267" s="103">
        <v>1.33311344768557E-2</v>
      </c>
      <c r="D267" s="103">
        <v>2.5357238759965796E-2</v>
      </c>
      <c r="E267" s="103">
        <v>4.5396913754494186E-2</v>
      </c>
      <c r="F267" s="103">
        <v>6.1008960749393513E-2</v>
      </c>
      <c r="G267" s="103">
        <v>3.4180445769138083E-2</v>
      </c>
      <c r="H267" s="103">
        <v>0.13030664211437235</v>
      </c>
      <c r="I267" s="103">
        <v>0.11335981287069362</v>
      </c>
      <c r="J267" s="103">
        <v>0.10536403050869872</v>
      </c>
      <c r="K267" s="103">
        <v>0.10124648810683816</v>
      </c>
      <c r="L267" s="103">
        <v>9.7586421314875577E-2</v>
      </c>
      <c r="M267" s="103">
        <v>0.16057482828625774</v>
      </c>
      <c r="N267" s="103">
        <v>0</v>
      </c>
      <c r="O267" s="103">
        <v>0.88771291671158337</v>
      </c>
    </row>
    <row r="268" spans="1:15" s="77" customFormat="1" ht="14.4" outlineLevel="1" x14ac:dyDescent="0.3">
      <c r="A268" s="67"/>
      <c r="B268" s="89" t="s">
        <v>122</v>
      </c>
      <c r="C268" s="99">
        <v>0</v>
      </c>
      <c r="D268" s="103">
        <v>0</v>
      </c>
      <c r="E268" s="103">
        <v>0</v>
      </c>
      <c r="F268" s="103">
        <v>0</v>
      </c>
      <c r="G268" s="103">
        <v>2.6647859555762151E-2</v>
      </c>
      <c r="H268" s="103">
        <v>8.2656082190533886E-2</v>
      </c>
      <c r="I268" s="103">
        <v>7.989213943030582E-2</v>
      </c>
      <c r="J268" s="103">
        <v>8.2569970411183233E-2</v>
      </c>
      <c r="K268" s="103">
        <v>8.3190239785760858E-2</v>
      </c>
      <c r="L268" s="103">
        <v>8.0855553746764078E-2</v>
      </c>
      <c r="M268" s="103">
        <v>0.14013798182702883</v>
      </c>
      <c r="N268" s="103">
        <v>0</v>
      </c>
      <c r="O268" s="103">
        <v>0.57594982694733887</v>
      </c>
    </row>
    <row r="269" spans="1:15" s="77" customFormat="1" ht="14.4" outlineLevel="1" x14ac:dyDescent="0.3">
      <c r="A269" s="67"/>
      <c r="B269" s="89" t="s">
        <v>123</v>
      </c>
      <c r="C269" s="99">
        <v>1.33311344768557E-2</v>
      </c>
      <c r="D269" s="103">
        <v>2.5357238759965796E-2</v>
      </c>
      <c r="E269" s="103">
        <v>4.5396913754494186E-2</v>
      </c>
      <c r="F269" s="103">
        <v>6.1008960749393513E-2</v>
      </c>
      <c r="G269" s="103">
        <v>7.5325862133759297E-3</v>
      </c>
      <c r="H269" s="103">
        <v>4.7650559923838459E-2</v>
      </c>
      <c r="I269" s="103">
        <v>3.3467673440387799E-2</v>
      </c>
      <c r="J269" s="103">
        <v>2.279406009751548E-2</v>
      </c>
      <c r="K269" s="103">
        <v>1.8056248321077301E-2</v>
      </c>
      <c r="L269" s="103">
        <v>1.6730867568111499E-2</v>
      </c>
      <c r="M269" s="103">
        <v>2.04368464592289E-2</v>
      </c>
      <c r="N269" s="103">
        <v>0</v>
      </c>
      <c r="O269" s="103">
        <v>0.31176308976424455</v>
      </c>
    </row>
    <row r="270" spans="1:15" s="77" customFormat="1" ht="14.4" outlineLevel="1" x14ac:dyDescent="0.3">
      <c r="A270" s="67"/>
      <c r="B270" s="89" t="s">
        <v>124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v>-23.784736831147804</v>
      </c>
      <c r="D272" s="107">
        <v>-22.11465927058677</v>
      </c>
      <c r="E272" s="107">
        <v>-15.296204964582685</v>
      </c>
      <c r="F272" s="107">
        <v>-33.413733198119637</v>
      </c>
      <c r="G272" s="107">
        <v>-22.480010290058988</v>
      </c>
      <c r="H272" s="107">
        <v>-25.542289233283427</v>
      </c>
      <c r="I272" s="107">
        <v>-22.756778894739242</v>
      </c>
      <c r="J272" s="107">
        <v>-28.667523608096907</v>
      </c>
      <c r="K272" s="107">
        <v>-26.875075157923767</v>
      </c>
      <c r="L272" s="107">
        <v>-33.256551725705393</v>
      </c>
      <c r="M272" s="107">
        <v>-28.840084632337756</v>
      </c>
      <c r="N272" s="107">
        <v>0</v>
      </c>
      <c r="O272" s="107">
        <v>-283.02764780658237</v>
      </c>
    </row>
    <row r="273" spans="1:15" s="77" customFormat="1" ht="14.4" x14ac:dyDescent="0.3">
      <c r="A273" s="67"/>
      <c r="B273" s="106" t="s">
        <v>126</v>
      </c>
      <c r="C273" s="107">
        <v>-29.467959745957895</v>
      </c>
      <c r="D273" s="107">
        <v>-27.450715894510807</v>
      </c>
      <c r="E273" s="107">
        <v>-20.474200731462755</v>
      </c>
      <c r="F273" s="107">
        <v>-39.954878567405451</v>
      </c>
      <c r="G273" s="107">
        <v>-28.246464660371608</v>
      </c>
      <c r="H273" s="107">
        <v>-33.048531105363949</v>
      </c>
      <c r="I273" s="107">
        <v>-30.334227912024268</v>
      </c>
      <c r="J273" s="107">
        <v>-35.821594046470949</v>
      </c>
      <c r="K273" s="107">
        <v>-32.862008520358899</v>
      </c>
      <c r="L273" s="107">
        <v>-41.350096740716353</v>
      </c>
      <c r="M273" s="107">
        <v>-35.84987551923308</v>
      </c>
      <c r="N273" s="107">
        <v>0</v>
      </c>
      <c r="O273" s="107">
        <v>-354.86055344387603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v>1.6349635051068576</v>
      </c>
      <c r="D275" s="96">
        <v>2.8747169925032701</v>
      </c>
      <c r="E275" s="96">
        <v>2.623799944537299</v>
      </c>
      <c r="F275" s="96">
        <v>4.5243895659197548</v>
      </c>
      <c r="G275" s="96">
        <v>1.8423420982784791</v>
      </c>
      <c r="H275" s="96">
        <v>3.5427475911765729</v>
      </c>
      <c r="I275" s="96">
        <v>1.8561873149610113</v>
      </c>
      <c r="J275" s="96">
        <v>2.788302993510293</v>
      </c>
      <c r="K275" s="96">
        <v>4.3684184316632901</v>
      </c>
      <c r="L275" s="96">
        <v>5.558228620803888</v>
      </c>
      <c r="M275" s="96">
        <v>3.262230911988361</v>
      </c>
      <c r="N275" s="96">
        <v>0</v>
      </c>
      <c r="O275" s="96">
        <v>34.876327970449076</v>
      </c>
    </row>
    <row r="276" spans="1:15" s="77" customFormat="1" ht="14.4" x14ac:dyDescent="0.3">
      <c r="A276" s="67"/>
      <c r="B276" s="86" t="s">
        <v>128</v>
      </c>
      <c r="C276" s="103">
        <v>0.95770421393841165</v>
      </c>
      <c r="D276" s="103">
        <v>2.568639869321546</v>
      </c>
      <c r="E276" s="103">
        <v>2.0594609105371808</v>
      </c>
      <c r="F276" s="103">
        <v>3.6995413927298517</v>
      </c>
      <c r="G276" s="103">
        <v>1.650414143802269</v>
      </c>
      <c r="H276" s="103">
        <v>3.4972224276946671</v>
      </c>
      <c r="I276" s="103">
        <v>1.7702667075789049</v>
      </c>
      <c r="J276" s="103">
        <v>0.77006597636641871</v>
      </c>
      <c r="K276" s="103">
        <v>1.7745650823657924</v>
      </c>
      <c r="L276" s="103">
        <v>3.664779570408093</v>
      </c>
      <c r="M276" s="103">
        <v>2.2899332561140731</v>
      </c>
      <c r="N276" s="103">
        <v>0</v>
      </c>
      <c r="O276" s="88">
        <v>24.702593550857209</v>
      </c>
    </row>
    <row r="277" spans="1:15" s="77" customFormat="1" ht="14.4" x14ac:dyDescent="0.3">
      <c r="A277" s="67"/>
      <c r="B277" s="86" t="s">
        <v>129</v>
      </c>
      <c r="C277" s="103">
        <v>0.67725929116844596</v>
      </c>
      <c r="D277" s="103">
        <v>0.30607712318172425</v>
      </c>
      <c r="E277" s="103">
        <v>0.56433903400011842</v>
      </c>
      <c r="F277" s="103">
        <v>0.82484817318990344</v>
      </c>
      <c r="G277" s="103">
        <v>0.19192795447621014</v>
      </c>
      <c r="H277" s="103">
        <v>4.5525163481906022E-2</v>
      </c>
      <c r="I277" s="103">
        <v>8.5920607382106315E-2</v>
      </c>
      <c r="J277" s="103">
        <v>2.0182370171438744</v>
      </c>
      <c r="K277" s="103">
        <v>2.5938533492974973</v>
      </c>
      <c r="L277" s="103">
        <v>1.893449050395795</v>
      </c>
      <c r="M277" s="103">
        <v>0.97229765587428774</v>
      </c>
      <c r="N277" s="103">
        <v>0</v>
      </c>
      <c r="O277" s="88">
        <v>10.173734419591868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v>-31.102923251064752</v>
      </c>
      <c r="D279" s="107">
        <v>-30.325432887014077</v>
      </c>
      <c r="E279" s="107">
        <v>-23.098000676000055</v>
      </c>
      <c r="F279" s="107">
        <v>-44.479268133325206</v>
      </c>
      <c r="G279" s="107">
        <v>-30.088806758650087</v>
      </c>
      <c r="H279" s="107">
        <v>-36.59127869654052</v>
      </c>
      <c r="I279" s="107">
        <v>-32.19041522698528</v>
      </c>
      <c r="J279" s="107">
        <v>-38.609897039981242</v>
      </c>
      <c r="K279" s="107">
        <v>-37.230426952022185</v>
      </c>
      <c r="L279" s="107">
        <v>-46.908325361520241</v>
      </c>
      <c r="M279" s="107">
        <v>-39.112106431221441</v>
      </c>
      <c r="N279" s="107">
        <v>0</v>
      </c>
      <c r="O279" s="107">
        <v>-389.73688141432513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v>1.219557018222333</v>
      </c>
      <c r="D281" s="112">
        <v>47.342537858691614</v>
      </c>
      <c r="E281" s="112">
        <v>15.910101424444514</v>
      </c>
      <c r="F281" s="112">
        <v>35.706490396542698</v>
      </c>
      <c r="G281" s="112">
        <v>34.656256784420698</v>
      </c>
      <c r="H281" s="112">
        <v>31.431233377222366</v>
      </c>
      <c r="I281" s="112">
        <v>31.165857563454338</v>
      </c>
      <c r="J281" s="112">
        <v>37.89524013358875</v>
      </c>
      <c r="K281" s="112">
        <v>58.513157145197084</v>
      </c>
      <c r="L281" s="112">
        <v>30.727006374803736</v>
      </c>
      <c r="M281" s="112">
        <v>60.58409731795291</v>
      </c>
      <c r="N281" s="112">
        <v>0</v>
      </c>
      <c r="O281" s="112">
        <v>385.1515353945411</v>
      </c>
    </row>
    <row r="282" spans="1:15" s="77" customFormat="1" ht="14.4" x14ac:dyDescent="0.3">
      <c r="A282" s="67"/>
      <c r="B282" s="86" t="s">
        <v>132</v>
      </c>
      <c r="C282" s="103">
        <v>16.299468999999998</v>
      </c>
      <c r="D282" s="103">
        <v>16.299468999999998</v>
      </c>
      <c r="E282" s="103">
        <v>16.299468999999998</v>
      </c>
      <c r="F282" s="103">
        <v>29.499469000000001</v>
      </c>
      <c r="G282" s="103">
        <v>16.299049610000001</v>
      </c>
      <c r="H282" s="103">
        <v>16.299468999999998</v>
      </c>
      <c r="I282" s="103">
        <v>16.299468999999998</v>
      </c>
      <c r="J282" s="103">
        <v>25.367616999999999</v>
      </c>
      <c r="K282" s="103">
        <v>40.223855999999998</v>
      </c>
      <c r="L282" s="103">
        <v>40.223855999999998</v>
      </c>
      <c r="M282" s="103">
        <v>40.223855999999998</v>
      </c>
      <c r="N282" s="103">
        <v>0</v>
      </c>
      <c r="O282" s="104">
        <v>273.33504861</v>
      </c>
    </row>
    <row r="283" spans="1:15" s="77" customFormat="1" ht="14.4" x14ac:dyDescent="0.3">
      <c r="A283" s="67"/>
      <c r="B283" s="89" t="s">
        <v>133</v>
      </c>
      <c r="C283" s="99">
        <v>16.299468999999998</v>
      </c>
      <c r="D283" s="99">
        <v>16.299468999999998</v>
      </c>
      <c r="E283" s="99">
        <v>16.299468999999998</v>
      </c>
      <c r="F283" s="99">
        <v>29.499469000000001</v>
      </c>
      <c r="G283" s="99">
        <v>16.299049610000001</v>
      </c>
      <c r="H283" s="99">
        <v>16.299468999999998</v>
      </c>
      <c r="I283" s="99">
        <v>16.299468999999998</v>
      </c>
      <c r="J283" s="99">
        <v>25.367616999999999</v>
      </c>
      <c r="K283" s="99">
        <v>40.223855999999998</v>
      </c>
      <c r="L283" s="99">
        <v>40.223855999999998</v>
      </c>
      <c r="M283" s="99">
        <v>40.223855999999998</v>
      </c>
      <c r="N283" s="99">
        <v>0</v>
      </c>
      <c r="O283" s="266">
        <v>273.33504861</v>
      </c>
    </row>
    <row r="284" spans="1:15" s="77" customFormat="1" ht="14.4" x14ac:dyDescent="0.3">
      <c r="A284" s="67"/>
      <c r="B284" s="86" t="s">
        <v>262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134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135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136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137</v>
      </c>
      <c r="C288" s="116">
        <v>-3.0625381680605024</v>
      </c>
      <c r="D288" s="116">
        <v>13.37899993981091</v>
      </c>
      <c r="E288" s="116">
        <v>-14.77778109010012</v>
      </c>
      <c r="F288" s="116">
        <v>-5.7264281949641109</v>
      </c>
      <c r="G288" s="116">
        <v>12.375567055813491</v>
      </c>
      <c r="H288" s="116">
        <v>-1.7885587338523905</v>
      </c>
      <c r="I288" s="116">
        <v>1.111196042991768</v>
      </c>
      <c r="J288" s="116">
        <v>-3.0472939259204708</v>
      </c>
      <c r="K288" s="116">
        <v>7.5534101581325288</v>
      </c>
      <c r="L288" s="116">
        <v>-6.3793930988457213</v>
      </c>
      <c r="M288" s="116">
        <v>9.7283759072367353</v>
      </c>
      <c r="N288" s="116">
        <v>0</v>
      </c>
      <c r="O288" s="266">
        <v>9.3655558922421172</v>
      </c>
    </row>
    <row r="289" spans="1:22" s="77" customFormat="1" ht="14.4" x14ac:dyDescent="0.3">
      <c r="A289" s="67"/>
      <c r="B289" s="115" t="s">
        <v>138</v>
      </c>
      <c r="C289" s="116">
        <v>0</v>
      </c>
      <c r="D289" s="116">
        <v>0</v>
      </c>
      <c r="E289" s="116">
        <v>0</v>
      </c>
      <c r="F289" s="116">
        <v>0</v>
      </c>
      <c r="G289" s="116">
        <v>11.998466021098896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11.998466021098896</v>
      </c>
    </row>
    <row r="290" spans="1:22" s="77" customFormat="1" ht="14.4" x14ac:dyDescent="0.3">
      <c r="A290" s="67"/>
      <c r="B290" s="114" t="s">
        <v>139</v>
      </c>
      <c r="C290" s="103">
        <v>-3.0625381680605024</v>
      </c>
      <c r="D290" s="103">
        <v>13.37899993981091</v>
      </c>
      <c r="E290" s="103">
        <v>-14.77778109010012</v>
      </c>
      <c r="F290" s="103">
        <v>-5.7264281949641109</v>
      </c>
      <c r="G290" s="103">
        <v>0.37710103471459533</v>
      </c>
      <c r="H290" s="103">
        <v>-1.7885587338523905</v>
      </c>
      <c r="I290" s="103">
        <v>1.111196042991768</v>
      </c>
      <c r="J290" s="103">
        <v>-3.0472939259204708</v>
      </c>
      <c r="K290" s="103">
        <v>7.5534101581325288</v>
      </c>
      <c r="L290" s="103">
        <v>-6.3793930988457213</v>
      </c>
      <c r="M290" s="103">
        <v>9.7283759072367353</v>
      </c>
      <c r="N290" s="103">
        <v>0</v>
      </c>
      <c r="O290" s="104">
        <v>-2.6329101288567784</v>
      </c>
    </row>
    <row r="291" spans="1:22" s="77" customFormat="1" ht="14.4" x14ac:dyDescent="0.3">
      <c r="A291" s="67"/>
      <c r="B291" s="115" t="s">
        <v>140</v>
      </c>
      <c r="C291" s="116">
        <v>-12.694633104885609</v>
      </c>
      <c r="D291" s="116">
        <v>17.357991795698979</v>
      </c>
      <c r="E291" s="116">
        <v>13.824074480544517</v>
      </c>
      <c r="F291" s="116">
        <v>11.1086014183169</v>
      </c>
      <c r="G291" s="116">
        <v>5.789712164130993</v>
      </c>
      <c r="H291" s="116">
        <v>16.874797947592853</v>
      </c>
      <c r="I291" s="116">
        <v>13.669271913080465</v>
      </c>
      <c r="J291" s="116">
        <v>13.556680042365347</v>
      </c>
      <c r="K291" s="116">
        <v>8.1420376377670607</v>
      </c>
      <c r="L291" s="116">
        <v>-5.01090557674633</v>
      </c>
      <c r="M291" s="116">
        <v>9.6595677548418859</v>
      </c>
      <c r="N291" s="116">
        <v>0</v>
      </c>
      <c r="O291" s="266">
        <v>92.277196472707061</v>
      </c>
    </row>
    <row r="292" spans="1:22" s="77" customFormat="1" ht="14.4" x14ac:dyDescent="0.3">
      <c r="A292" s="67"/>
      <c r="B292" s="115" t="s">
        <v>141</v>
      </c>
      <c r="C292" s="116">
        <v>-10.593537239126567</v>
      </c>
      <c r="D292" s="116">
        <v>-8.9793100259964778</v>
      </c>
      <c r="E292" s="116">
        <v>-0.47039622999999864</v>
      </c>
      <c r="F292" s="116">
        <v>8.6323371733243146</v>
      </c>
      <c r="G292" s="116">
        <v>-7.1780789943642667</v>
      </c>
      <c r="H292" s="116">
        <v>0.24743770136843146</v>
      </c>
      <c r="I292" s="116">
        <v>-7.2196218743826535E-2</v>
      </c>
      <c r="J292" s="116">
        <v>-1.7357704399293326</v>
      </c>
      <c r="K292" s="116">
        <v>4.432844472082607</v>
      </c>
      <c r="L292" s="116">
        <v>1.1619318383160024</v>
      </c>
      <c r="M292" s="116">
        <v>0.36938742533818747</v>
      </c>
      <c r="N292" s="116">
        <v>0</v>
      </c>
      <c r="O292" s="266">
        <v>-14.185350537730926</v>
      </c>
      <c r="P292" s="267"/>
    </row>
    <row r="293" spans="1:22" s="77" customFormat="1" ht="14.4" x14ac:dyDescent="0.3">
      <c r="A293" s="67"/>
      <c r="B293" s="115" t="s">
        <v>262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142</v>
      </c>
      <c r="C295" s="116">
        <v>-2.1010958657590422</v>
      </c>
      <c r="D295" s="116">
        <v>26.337301821695455</v>
      </c>
      <c r="E295" s="116">
        <v>14.294470710544516</v>
      </c>
      <c r="F295" s="116">
        <v>2.4762642449925849</v>
      </c>
      <c r="G295" s="116">
        <v>12.96779115849526</v>
      </c>
      <c r="H295" s="116">
        <v>16.62736024622442</v>
      </c>
      <c r="I295" s="116">
        <v>13.741468131824291</v>
      </c>
      <c r="J295" s="116">
        <v>15.292450482294679</v>
      </c>
      <c r="K295" s="116">
        <v>3.7091931656844537</v>
      </c>
      <c r="L295" s="116">
        <v>-6.1728374150623324</v>
      </c>
      <c r="M295" s="116">
        <v>9.2901803295036984</v>
      </c>
      <c r="N295" s="116">
        <v>0</v>
      </c>
      <c r="O295" s="266">
        <v>106.46254701043799</v>
      </c>
    </row>
    <row r="296" spans="1:22" s="77" customFormat="1" ht="14.4" x14ac:dyDescent="0.3">
      <c r="A296" s="67"/>
      <c r="B296" s="115" t="s">
        <v>143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144</v>
      </c>
      <c r="C297" s="103">
        <v>0.67725929116844596</v>
      </c>
      <c r="D297" s="103">
        <v>0.30607712318172425</v>
      </c>
      <c r="E297" s="103">
        <v>0.56433903400011842</v>
      </c>
      <c r="F297" s="103">
        <v>0.82484817318990344</v>
      </c>
      <c r="G297" s="103">
        <v>0.19192795447621014</v>
      </c>
      <c r="H297" s="103">
        <v>4.5525163481906022E-2</v>
      </c>
      <c r="I297" s="103">
        <v>8.5920607382106315E-2</v>
      </c>
      <c r="J297" s="103">
        <v>2.0182370171438744</v>
      </c>
      <c r="K297" s="103">
        <v>2.5938533492974973</v>
      </c>
      <c r="L297" s="103">
        <v>1.893449050395795</v>
      </c>
      <c r="M297" s="103">
        <v>0.97229765587428774</v>
      </c>
      <c r="N297" s="103">
        <v>0</v>
      </c>
      <c r="O297" s="104">
        <v>10.173734419591868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v>-29.88336623284242</v>
      </c>
      <c r="D299" s="119">
        <v>17.017104971677536</v>
      </c>
      <c r="E299" s="119">
        <v>-7.1878992515555407</v>
      </c>
      <c r="F299" s="119">
        <v>-8.7727777367825084</v>
      </c>
      <c r="G299" s="119">
        <v>4.5674500257706114</v>
      </c>
      <c r="H299" s="119">
        <v>-5.1600453193181544</v>
      </c>
      <c r="I299" s="119">
        <v>-1.0245576635309419</v>
      </c>
      <c r="J299" s="119">
        <v>-0.71465690639249146</v>
      </c>
      <c r="K299" s="119">
        <v>21.282730193174899</v>
      </c>
      <c r="L299" s="119">
        <v>-16.181318986716505</v>
      </c>
      <c r="M299" s="119">
        <v>21.471990886731469</v>
      </c>
      <c r="N299" s="119">
        <v>0</v>
      </c>
      <c r="O299" s="119">
        <v>-4.5853460197840263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491" t="s">
        <v>377</v>
      </c>
      <c r="C301" s="491"/>
      <c r="D301" s="491"/>
      <c r="E301" s="491"/>
      <c r="F301" s="491"/>
      <c r="G301" s="491"/>
      <c r="H301" s="491"/>
      <c r="I301" s="491"/>
      <c r="J301" s="491"/>
      <c r="K301" s="491"/>
      <c r="L301" s="491"/>
      <c r="M301" s="491"/>
      <c r="N301" s="491"/>
      <c r="O301" s="491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491" t="s">
        <v>371</v>
      </c>
      <c r="C302" s="491"/>
      <c r="D302" s="491"/>
      <c r="E302" s="491"/>
      <c r="F302" s="491"/>
      <c r="G302" s="491"/>
      <c r="H302" s="491"/>
      <c r="I302" s="491"/>
      <c r="J302" s="491"/>
      <c r="K302" s="491"/>
      <c r="L302" s="491"/>
      <c r="M302" s="491"/>
      <c r="N302" s="491"/>
      <c r="O302" s="491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492" t="s">
        <v>95</v>
      </c>
      <c r="C303" s="492"/>
      <c r="D303" s="492"/>
      <c r="E303" s="492"/>
      <c r="F303" s="492"/>
      <c r="G303" s="492"/>
      <c r="H303" s="492"/>
      <c r="I303" s="492"/>
      <c r="J303" s="492"/>
      <c r="K303" s="492"/>
      <c r="L303" s="492"/>
      <c r="M303" s="492"/>
      <c r="N303" s="492"/>
      <c r="O303" s="492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493" t="s">
        <v>96</v>
      </c>
      <c r="C305" s="500" t="s">
        <v>372</v>
      </c>
      <c r="D305" s="501"/>
      <c r="E305" s="501"/>
      <c r="F305" s="501"/>
      <c r="G305" s="501"/>
      <c r="H305" s="501"/>
      <c r="I305" s="501"/>
      <c r="J305" s="501"/>
      <c r="K305" s="501"/>
      <c r="L305" s="501"/>
      <c r="M305" s="501"/>
      <c r="N305" s="502"/>
      <c r="O305" s="498" t="s">
        <v>373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494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499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v>34.482087972181489</v>
      </c>
      <c r="D307" s="236">
        <v>47.87799384646658</v>
      </c>
      <c r="E307" s="236">
        <v>2.7298114337583854</v>
      </c>
      <c r="F307" s="236">
        <v>44.101411868328185</v>
      </c>
      <c r="G307" s="236">
        <v>85.499549803747556</v>
      </c>
      <c r="H307" s="236">
        <v>33.425373381029239</v>
      </c>
      <c r="I307" s="236">
        <v>63.616595007133419</v>
      </c>
      <c r="J307" s="236">
        <v>24.42405856364044</v>
      </c>
      <c r="K307" s="236">
        <v>92.038791816275818</v>
      </c>
      <c r="L307" s="236">
        <v>76.765076715807808</v>
      </c>
      <c r="M307" s="236">
        <v>43.879476733909904</v>
      </c>
      <c r="N307" s="236">
        <v>0</v>
      </c>
      <c r="O307" s="236">
        <v>548.84022714227888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v>33.627992395702023</v>
      </c>
      <c r="D309" s="238">
        <v>46.236640192048434</v>
      </c>
      <c r="E309" s="238">
        <v>0</v>
      </c>
      <c r="F309" s="238">
        <v>42.3882456740781</v>
      </c>
      <c r="G309" s="238">
        <v>83.380685885650649</v>
      </c>
      <c r="H309" s="238">
        <v>31.958178215797414</v>
      </c>
      <c r="I309" s="238">
        <v>63.614440076334546</v>
      </c>
      <c r="J309" s="238">
        <v>24.321161989516302</v>
      </c>
      <c r="K309" s="238">
        <v>92.038791816275818</v>
      </c>
      <c r="L309" s="238">
        <v>76.753983799999986</v>
      </c>
      <c r="M309" s="238">
        <v>43.86842948330343</v>
      </c>
      <c r="N309" s="238">
        <v>0</v>
      </c>
      <c r="O309" s="238">
        <v>538.18854952870674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v>33.623782247605327</v>
      </c>
      <c r="D310" s="239">
        <v>46.230851469950146</v>
      </c>
      <c r="E310" s="239">
        <v>0</v>
      </c>
      <c r="F310" s="239">
        <v>42.380703985533266</v>
      </c>
      <c r="G310" s="239">
        <v>81.038632823350753</v>
      </c>
      <c r="H310" s="239">
        <v>31.958178215797414</v>
      </c>
      <c r="I310" s="239">
        <v>63.614440076334546</v>
      </c>
      <c r="J310" s="239">
        <v>24.321161989516302</v>
      </c>
      <c r="K310" s="239">
        <v>92.038791816275818</v>
      </c>
      <c r="L310" s="239">
        <v>76.753983799999986</v>
      </c>
      <c r="M310" s="239">
        <v>43.86842948330343</v>
      </c>
      <c r="N310" s="239">
        <v>0</v>
      </c>
      <c r="O310" s="240">
        <v>535.82895590766702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v>4.2101480966959086E-3</v>
      </c>
      <c r="D311" s="239">
        <v>5.7887220982911275E-3</v>
      </c>
      <c r="E311" s="239">
        <v>0</v>
      </c>
      <c r="F311" s="239">
        <v>0</v>
      </c>
      <c r="G311" s="239">
        <v>2.342053062299891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2.3520519324948781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v>0</v>
      </c>
      <c r="D312" s="239">
        <v>0</v>
      </c>
      <c r="E312" s="239">
        <v>0</v>
      </c>
      <c r="F312" s="239">
        <v>7.5416885448319959E-3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7.5416885448319959E-3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v>0.85409557647946632</v>
      </c>
      <c r="D315" s="238">
        <v>1.6413536544181435</v>
      </c>
      <c r="E315" s="238">
        <v>2.7298114337583854</v>
      </c>
      <c r="F315" s="238">
        <v>1.7131661942500853</v>
      </c>
      <c r="G315" s="238">
        <v>2.1188639180969022</v>
      </c>
      <c r="H315" s="238">
        <v>1.4671951652318216</v>
      </c>
      <c r="I315" s="238">
        <v>2.1549307988726406E-3</v>
      </c>
      <c r="J315" s="238">
        <v>0.10289657412413714</v>
      </c>
      <c r="K315" s="238">
        <v>0</v>
      </c>
      <c r="L315" s="238">
        <v>1.1092915807824951E-2</v>
      </c>
      <c r="M315" s="238">
        <v>1.1047250606470905E-2</v>
      </c>
      <c r="N315" s="238">
        <v>0</v>
      </c>
      <c r="O315" s="238">
        <v>10.651677613572112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v>0.85409557647946632</v>
      </c>
      <c r="D316" s="239">
        <v>1.6413536544181435</v>
      </c>
      <c r="E316" s="239">
        <v>2.7298114337583854</v>
      </c>
      <c r="F316" s="239">
        <v>1.7131661942500853</v>
      </c>
      <c r="G316" s="239">
        <v>2.1188639180969022</v>
      </c>
      <c r="H316" s="239">
        <v>1.4671951652318216</v>
      </c>
      <c r="I316" s="239">
        <v>2.1549307988726406E-3</v>
      </c>
      <c r="J316" s="239">
        <v>0.10289657412413714</v>
      </c>
      <c r="K316" s="239">
        <v>0</v>
      </c>
      <c r="L316" s="239">
        <v>1.1092915807824951E-2</v>
      </c>
      <c r="M316" s="239">
        <v>1.1047250606470905E-2</v>
      </c>
      <c r="N316" s="239">
        <v>0</v>
      </c>
      <c r="O316" s="240">
        <v>10.651677613572112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v>53.317013861039243</v>
      </c>
      <c r="D318" s="243">
        <v>50.215304376578949</v>
      </c>
      <c r="E318" s="243">
        <v>49.875592760751587</v>
      </c>
      <c r="F318" s="243">
        <v>65.05247435714746</v>
      </c>
      <c r="G318" s="243">
        <v>62.585804183251845</v>
      </c>
      <c r="H318" s="243">
        <v>80.409324125224984</v>
      </c>
      <c r="I318" s="243">
        <v>71.260180160954349</v>
      </c>
      <c r="J318" s="243">
        <v>75.442286032602311</v>
      </c>
      <c r="K318" s="243">
        <v>75.172116419375783</v>
      </c>
      <c r="L318" s="243">
        <v>89.03292158877062</v>
      </c>
      <c r="M318" s="243">
        <v>90.427065490552593</v>
      </c>
      <c r="N318" s="243">
        <v>0</v>
      </c>
      <c r="O318" s="243">
        <v>762.79008335624962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v>50.762809489999995</v>
      </c>
      <c r="D320" s="244">
        <v>42.54849024</v>
      </c>
      <c r="E320" s="244">
        <v>46.115152860000002</v>
      </c>
      <c r="F320" s="244">
        <v>52.810327180000002</v>
      </c>
      <c r="G320" s="244">
        <v>52.364253180000006</v>
      </c>
      <c r="H320" s="244">
        <v>62.139521721999998</v>
      </c>
      <c r="I320" s="244">
        <v>56.398427099999999</v>
      </c>
      <c r="J320" s="244">
        <v>57.902953960000005</v>
      </c>
      <c r="K320" s="244">
        <v>45.363769499999997</v>
      </c>
      <c r="L320" s="244">
        <v>35.397045849999998</v>
      </c>
      <c r="M320" s="244">
        <v>34.346771320000002</v>
      </c>
      <c r="N320" s="244">
        <v>0</v>
      </c>
      <c r="O320" s="244">
        <v>536.14952240199989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v>50.762809489999995</v>
      </c>
      <c r="D321" s="245">
        <v>42.54849024</v>
      </c>
      <c r="E321" s="245">
        <v>46.115152860000002</v>
      </c>
      <c r="F321" s="245">
        <v>52.810327180000002</v>
      </c>
      <c r="G321" s="245">
        <v>52.364253180000006</v>
      </c>
      <c r="H321" s="245">
        <v>62.139521721999998</v>
      </c>
      <c r="I321" s="245">
        <v>56.398427099999999</v>
      </c>
      <c r="J321" s="245">
        <v>57.902953960000005</v>
      </c>
      <c r="K321" s="245">
        <v>45.363769499999997</v>
      </c>
      <c r="L321" s="245">
        <v>35.397045849999998</v>
      </c>
      <c r="M321" s="245">
        <v>34.346771320000002</v>
      </c>
      <c r="N321" s="245">
        <v>0</v>
      </c>
      <c r="O321" s="240">
        <v>536.14952240199989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v>50.762809489999995</v>
      </c>
      <c r="D322" s="246">
        <v>42.54849024</v>
      </c>
      <c r="E322" s="246">
        <v>46.115152860000002</v>
      </c>
      <c r="F322" s="246">
        <v>52.810327180000002</v>
      </c>
      <c r="G322" s="246">
        <v>52.364253180000006</v>
      </c>
      <c r="H322" s="246">
        <v>62.139521721999998</v>
      </c>
      <c r="I322" s="246">
        <v>56.398427099999999</v>
      </c>
      <c r="J322" s="246">
        <v>57.902953960000005</v>
      </c>
      <c r="K322" s="246">
        <v>45.363769499999997</v>
      </c>
      <c r="L322" s="246">
        <v>35.397045849999998</v>
      </c>
      <c r="M322" s="246">
        <v>34.346771320000002</v>
      </c>
      <c r="N322" s="246">
        <v>0</v>
      </c>
      <c r="O322" s="247">
        <v>536.14952240199989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v>2.5542043710392495</v>
      </c>
      <c r="D328" s="244">
        <v>7.6668141365789513</v>
      </c>
      <c r="E328" s="244">
        <v>3.760439900751587</v>
      </c>
      <c r="F328" s="244">
        <v>12.242147177147462</v>
      </c>
      <c r="G328" s="244">
        <v>10.221551003251841</v>
      </c>
      <c r="H328" s="244">
        <v>18.26980240322499</v>
      </c>
      <c r="I328" s="244">
        <v>14.861753060954356</v>
      </c>
      <c r="J328" s="244">
        <v>17.539332072602303</v>
      </c>
      <c r="K328" s="244">
        <v>29.808346919375783</v>
      </c>
      <c r="L328" s="244">
        <v>53.635875738770622</v>
      </c>
      <c r="M328" s="244">
        <v>56.080294170552591</v>
      </c>
      <c r="N328" s="244">
        <v>0</v>
      </c>
      <c r="O328" s="244">
        <v>226.64056095424976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v>2.1031122602111254</v>
      </c>
      <c r="D329" s="245">
        <v>2.6105132129480451</v>
      </c>
      <c r="E329" s="245">
        <v>2.6099672662997504</v>
      </c>
      <c r="F329" s="245">
        <v>1.9520785517501076</v>
      </c>
      <c r="G329" s="245">
        <v>5.877165748910044</v>
      </c>
      <c r="H329" s="245">
        <v>0.55975670646170383</v>
      </c>
      <c r="I329" s="245">
        <v>0.58074632113597902</v>
      </c>
      <c r="J329" s="245">
        <v>0.69692602278748994</v>
      </c>
      <c r="K329" s="245">
        <v>0.78053892057382956</v>
      </c>
      <c r="L329" s="245">
        <v>0.70626535931643597</v>
      </c>
      <c r="M329" s="245">
        <v>0.62438338639953739</v>
      </c>
      <c r="N329" s="245">
        <v>0</v>
      </c>
      <c r="O329" s="240">
        <v>19.101453756794047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0.22128455077907266</v>
      </c>
      <c r="D330" s="245">
        <v>4.4801358603227719</v>
      </c>
      <c r="E330" s="245">
        <v>0.37212091231258204</v>
      </c>
      <c r="F330" s="245">
        <v>2.1154106290227945</v>
      </c>
      <c r="G330" s="245">
        <v>2.0918805793455046</v>
      </c>
      <c r="H330" s="245">
        <v>5.480124072334708</v>
      </c>
      <c r="I330" s="245">
        <v>3.7924203398934182</v>
      </c>
      <c r="J330" s="245">
        <v>2.3143839610714627</v>
      </c>
      <c r="K330" s="245">
        <v>1.5446772991772233</v>
      </c>
      <c r="L330" s="245">
        <v>3.9410325760955054</v>
      </c>
      <c r="M330" s="245">
        <v>2.1355405094691267</v>
      </c>
      <c r="N330" s="245">
        <v>0</v>
      </c>
      <c r="O330" s="240">
        <v>28.48901128982417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0.17120156363355715</v>
      </c>
      <c r="D331" s="245">
        <v>0.42919876602497897</v>
      </c>
      <c r="E331" s="245">
        <v>0.17260520140361141</v>
      </c>
      <c r="F331" s="245">
        <v>7.709903233998582</v>
      </c>
      <c r="G331" s="245">
        <v>2.1290137608394675</v>
      </c>
      <c r="H331" s="245">
        <v>12.229921624428577</v>
      </c>
      <c r="I331" s="245">
        <v>10.411822995047661</v>
      </c>
      <c r="J331" s="245">
        <v>14.184605369060764</v>
      </c>
      <c r="K331" s="245">
        <v>27.04742907803168</v>
      </c>
      <c r="L331" s="245">
        <v>47.616976468470575</v>
      </c>
      <c r="M331" s="245">
        <v>53.261617526171896</v>
      </c>
      <c r="N331" s="245">
        <v>0</v>
      </c>
      <c r="O331" s="240">
        <v>175.36429558711137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5.860599641549398E-2</v>
      </c>
      <c r="D332" s="245">
        <v>0.146966297283155</v>
      </c>
      <c r="E332" s="245">
        <v>0.60574652073564283</v>
      </c>
      <c r="F332" s="245">
        <v>0.46475476237597757</v>
      </c>
      <c r="G332" s="245">
        <v>0.12349091415682568</v>
      </c>
      <c r="H332" s="245">
        <v>0</v>
      </c>
      <c r="I332" s="245">
        <v>7.6763404877298255E-2</v>
      </c>
      <c r="J332" s="245">
        <v>0.34341671968258614</v>
      </c>
      <c r="K332" s="245">
        <v>0.43570162159305131</v>
      </c>
      <c r="L332" s="245">
        <v>1.3716013348881075</v>
      </c>
      <c r="M332" s="245">
        <v>5.8752748512030689E-2</v>
      </c>
      <c r="N332" s="245">
        <v>0</v>
      </c>
      <c r="O332" s="240">
        <v>3.685800320520169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123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v>-17.134817094297972</v>
      </c>
      <c r="D339" s="250">
        <v>3.688149952048434</v>
      </c>
      <c r="E339" s="250">
        <v>-46.115152860000002</v>
      </c>
      <c r="F339" s="250">
        <v>-10.422081505921902</v>
      </c>
      <c r="G339" s="250">
        <v>31.016432705650644</v>
      </c>
      <c r="H339" s="250">
        <v>-30.181343506202584</v>
      </c>
      <c r="I339" s="250">
        <v>7.2160129763345466</v>
      </c>
      <c r="J339" s="250">
        <v>-33.581791970483707</v>
      </c>
      <c r="K339" s="250">
        <v>46.675022316275822</v>
      </c>
      <c r="L339" s="250">
        <v>41.356937949999988</v>
      </c>
      <c r="M339" s="250">
        <v>9.5216581633034281</v>
      </c>
      <c r="N339" s="250">
        <v>0</v>
      </c>
      <c r="O339" s="250">
        <v>2.0390271267068556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v>-18.834925888857754</v>
      </c>
      <c r="D340" s="250">
        <v>-2.3373105301123687</v>
      </c>
      <c r="E340" s="250">
        <v>-47.145781326993202</v>
      </c>
      <c r="F340" s="250">
        <v>-20.951062488819275</v>
      </c>
      <c r="G340" s="250">
        <v>22.91374562049571</v>
      </c>
      <c r="H340" s="250">
        <v>-46.983950744195745</v>
      </c>
      <c r="I340" s="250">
        <v>-7.6435851538209292</v>
      </c>
      <c r="J340" s="250">
        <v>-51.018227468961868</v>
      </c>
      <c r="K340" s="250">
        <v>16.866675396900035</v>
      </c>
      <c r="L340" s="250">
        <v>-12.267844872962812</v>
      </c>
      <c r="M340" s="250">
        <v>-46.547588756642689</v>
      </c>
      <c r="N340" s="250">
        <v>0</v>
      </c>
      <c r="O340" s="250">
        <v>-213.94985621397075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v>0.57874821194892512</v>
      </c>
      <c r="D342" s="243">
        <v>0.50698812946668315</v>
      </c>
      <c r="E342" s="243">
        <v>0.77297629334503004</v>
      </c>
      <c r="F342" s="243">
        <v>0.58517520811258139</v>
      </c>
      <c r="G342" s="243">
        <v>1.3016281424438292</v>
      </c>
      <c r="H342" s="243">
        <v>0</v>
      </c>
      <c r="I342" s="243">
        <v>0</v>
      </c>
      <c r="J342" s="243">
        <v>0</v>
      </c>
      <c r="K342" s="243">
        <v>6.5432678517944294E-3</v>
      </c>
      <c r="L342" s="243">
        <v>0</v>
      </c>
      <c r="M342" s="243">
        <v>0</v>
      </c>
      <c r="N342" s="243">
        <v>0</v>
      </c>
      <c r="O342" s="243">
        <v>3.7520592531688433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v>0.57874821194892512</v>
      </c>
      <c r="D343" s="245">
        <v>0.50698812946668315</v>
      </c>
      <c r="E343" s="245">
        <v>0.77297629334503004</v>
      </c>
      <c r="F343" s="245">
        <v>0.58517520811258139</v>
      </c>
      <c r="G343" s="245">
        <v>1.3016281424438292</v>
      </c>
      <c r="H343" s="245">
        <v>0</v>
      </c>
      <c r="I343" s="245">
        <v>0</v>
      </c>
      <c r="J343" s="245">
        <v>0</v>
      </c>
      <c r="K343" s="245">
        <v>6.5432678517944294E-3</v>
      </c>
      <c r="L343" s="245">
        <v>0</v>
      </c>
      <c r="M343" s="245">
        <v>0</v>
      </c>
      <c r="N343" s="245">
        <v>0</v>
      </c>
      <c r="O343" s="240">
        <v>3.7520592531688433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v>-19.413674100806681</v>
      </c>
      <c r="D345" s="250">
        <v>-2.844298659579052</v>
      </c>
      <c r="E345" s="250">
        <v>-47.918757620338233</v>
      </c>
      <c r="F345" s="250">
        <v>-21.536237696931856</v>
      </c>
      <c r="G345" s="250">
        <v>21.612117478051882</v>
      </c>
      <c r="H345" s="250">
        <v>-46.983950744195745</v>
      </c>
      <c r="I345" s="250">
        <v>-7.6435851538209292</v>
      </c>
      <c r="J345" s="250">
        <v>-51.018227468961868</v>
      </c>
      <c r="K345" s="250">
        <v>16.860132129048242</v>
      </c>
      <c r="L345" s="250">
        <v>-12.267844872962812</v>
      </c>
      <c r="M345" s="250">
        <v>-46.547588756642689</v>
      </c>
      <c r="N345" s="250">
        <v>0</v>
      </c>
      <c r="O345" s="250">
        <v>-217.7019154671396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v>18.448025589695266</v>
      </c>
      <c r="D347" s="112">
        <v>-99.026906001518398</v>
      </c>
      <c r="E347" s="112">
        <v>48.56305550417207</v>
      </c>
      <c r="F347" s="112">
        <v>109.94412410843962</v>
      </c>
      <c r="G347" s="112">
        <v>3.412152108427513</v>
      </c>
      <c r="H347" s="112">
        <v>3.2856594882091628</v>
      </c>
      <c r="I347" s="112">
        <v>40.135044716025419</v>
      </c>
      <c r="J347" s="112">
        <v>51.690219484967521</v>
      </c>
      <c r="K347" s="112">
        <v>-23.11614810292587</v>
      </c>
      <c r="L347" s="112">
        <v>157.39404665684185</v>
      </c>
      <c r="M347" s="112">
        <v>58.855663849517512</v>
      </c>
      <c r="N347" s="112">
        <v>0</v>
      </c>
      <c r="O347" s="112">
        <v>369.58493740185162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v>9.1266982813236943</v>
      </c>
      <c r="D348" s="245">
        <v>9.1596410359950973</v>
      </c>
      <c r="E348" s="245">
        <v>9.1596410359950973</v>
      </c>
      <c r="F348" s="245">
        <v>9.3201130251416444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0</v>
      </c>
      <c r="O348" s="104">
        <v>36.766093378455537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v>2.3764024518707219</v>
      </c>
      <c r="D355" s="246">
        <v>-38.749214855368962</v>
      </c>
      <c r="E355" s="246">
        <v>34.487211518176977</v>
      </c>
      <c r="F355" s="246">
        <v>21.458611581445449</v>
      </c>
      <c r="G355" s="246">
        <v>-21.359457515923602</v>
      </c>
      <c r="H355" s="246">
        <v>21.712863017802576</v>
      </c>
      <c r="I355" s="246">
        <v>-17.863225851564657</v>
      </c>
      <c r="J355" s="246">
        <v>-0.65034307850649142</v>
      </c>
      <c r="K355" s="246">
        <v>-5.2654512610008899</v>
      </c>
      <c r="L355" s="246">
        <v>172.13992696144311</v>
      </c>
      <c r="M355" s="246">
        <v>91.662409184182408</v>
      </c>
      <c r="N355" s="246">
        <v>0</v>
      </c>
      <c r="O355" s="266">
        <v>259.94973215255663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v>2.3764024518707219</v>
      </c>
      <c r="D357" s="246">
        <v>-38.749214855368962</v>
      </c>
      <c r="E357" s="246">
        <v>34.487211518176977</v>
      </c>
      <c r="F357" s="246">
        <v>21.458611581445449</v>
      </c>
      <c r="G357" s="246">
        <v>-21.359457515923602</v>
      </c>
      <c r="H357" s="246">
        <v>21.712863017802576</v>
      </c>
      <c r="I357" s="246">
        <v>-17.863225851564657</v>
      </c>
      <c r="J357" s="246">
        <v>-0.65034307850649142</v>
      </c>
      <c r="K357" s="246">
        <v>-5.2654512610008899</v>
      </c>
      <c r="L357" s="246">
        <v>172.13992696144311</v>
      </c>
      <c r="M357" s="246">
        <v>91.662409184182408</v>
      </c>
      <c r="N357" s="246">
        <v>0</v>
      </c>
      <c r="O357" s="104">
        <v>259.94973215255663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v>6.944924856500851</v>
      </c>
      <c r="D358" s="245">
        <v>-69.43733218214453</v>
      </c>
      <c r="E358" s="245">
        <v>4.9162029499999953</v>
      </c>
      <c r="F358" s="245">
        <v>79.165399501852534</v>
      </c>
      <c r="G358" s="245">
        <v>24.771609624351115</v>
      </c>
      <c r="H358" s="245">
        <v>-18.427203529593413</v>
      </c>
      <c r="I358" s="245">
        <v>57.998270567590076</v>
      </c>
      <c r="J358" s="245">
        <v>34.024375454881728</v>
      </c>
      <c r="K358" s="245">
        <v>-17.850696841924979</v>
      </c>
      <c r="L358" s="245">
        <v>-14.745880304601251</v>
      </c>
      <c r="M358" s="245">
        <v>-32.806745334664896</v>
      </c>
      <c r="N358" s="245">
        <v>0</v>
      </c>
      <c r="O358" s="104">
        <v>54.552924762247216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v>6.944924856500851</v>
      </c>
      <c r="D359" s="246">
        <v>-69.43733218214453</v>
      </c>
      <c r="E359" s="246">
        <v>4.9162029499999953</v>
      </c>
      <c r="F359" s="246">
        <v>79.165399501852534</v>
      </c>
      <c r="G359" s="246">
        <v>24.771609624351115</v>
      </c>
      <c r="H359" s="246">
        <v>-18.427203529593413</v>
      </c>
      <c r="I359" s="246">
        <v>57.998270567590076</v>
      </c>
      <c r="J359" s="246">
        <v>34.024375454881728</v>
      </c>
      <c r="K359" s="246">
        <v>-17.850696841924979</v>
      </c>
      <c r="L359" s="246">
        <v>-14.745880304601251</v>
      </c>
      <c r="M359" s="246">
        <v>-32.806745334664896</v>
      </c>
      <c r="N359" s="246">
        <v>0</v>
      </c>
      <c r="O359" s="266">
        <v>54.552924762247216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18.316187108592281</v>
      </c>
      <c r="K366" s="245">
        <v>0</v>
      </c>
      <c r="L366" s="245">
        <v>0</v>
      </c>
      <c r="M366" s="245">
        <v>0</v>
      </c>
      <c r="N366" s="245">
        <v>0</v>
      </c>
      <c r="O366" s="104">
        <v>18.316187108592281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v>-0.96564851111141436</v>
      </c>
      <c r="D368" s="255">
        <v>-101.87120466109745</v>
      </c>
      <c r="E368" s="255">
        <v>0.64429788383383624</v>
      </c>
      <c r="F368" s="255">
        <v>88.407886411507775</v>
      </c>
      <c r="G368" s="255">
        <v>25.024269586479395</v>
      </c>
      <c r="H368" s="255">
        <v>-43.698291255986582</v>
      </c>
      <c r="I368" s="255">
        <v>32.49145956220449</v>
      </c>
      <c r="J368" s="255">
        <v>0.67199201600565317</v>
      </c>
      <c r="K368" s="255">
        <v>-6.2560159738776271</v>
      </c>
      <c r="L368" s="255">
        <v>145.12620178387903</v>
      </c>
      <c r="M368" s="255">
        <v>12.308075092874823</v>
      </c>
      <c r="N368" s="255">
        <v>0</v>
      </c>
      <c r="O368" s="255">
        <v>151.88302193471202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490" t="s">
        <v>378</v>
      </c>
      <c r="C370" s="490"/>
      <c r="D370" s="490"/>
      <c r="E370" s="490"/>
      <c r="F370" s="490"/>
      <c r="G370" s="490"/>
      <c r="H370" s="490"/>
      <c r="I370" s="490"/>
      <c r="J370" s="490"/>
      <c r="K370" s="490"/>
      <c r="L370" s="490"/>
      <c r="M370" s="490"/>
      <c r="N370" s="490"/>
      <c r="O370" s="490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491" t="s">
        <v>371</v>
      </c>
      <c r="C371" s="491"/>
      <c r="D371" s="491"/>
      <c r="E371" s="491"/>
      <c r="F371" s="491"/>
      <c r="G371" s="491"/>
      <c r="H371" s="491"/>
      <c r="I371" s="491"/>
      <c r="J371" s="491"/>
      <c r="K371" s="491"/>
      <c r="L371" s="491"/>
      <c r="M371" s="491"/>
      <c r="N371" s="491"/>
      <c r="O371" s="491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492" t="s">
        <v>95</v>
      </c>
      <c r="C372" s="492"/>
      <c r="D372" s="492"/>
      <c r="E372" s="492"/>
      <c r="F372" s="492"/>
      <c r="G372" s="492"/>
      <c r="H372" s="492"/>
      <c r="I372" s="492"/>
      <c r="J372" s="492"/>
      <c r="K372" s="492"/>
      <c r="L372" s="492"/>
      <c r="M372" s="492"/>
      <c r="N372" s="492"/>
      <c r="O372" s="492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493" t="s">
        <v>96</v>
      </c>
      <c r="C374" s="495" t="s">
        <v>372</v>
      </c>
      <c r="D374" s="496"/>
      <c r="E374" s="496"/>
      <c r="F374" s="496"/>
      <c r="G374" s="496"/>
      <c r="H374" s="496"/>
      <c r="I374" s="496"/>
      <c r="J374" s="496"/>
      <c r="K374" s="496"/>
      <c r="L374" s="496"/>
      <c r="M374" s="496"/>
      <c r="N374" s="497"/>
      <c r="O374" s="498" t="s">
        <v>373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494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499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v>12.900819608105445</v>
      </c>
      <c r="D376" s="81">
        <v>14.611506645977061</v>
      </c>
      <c r="E376" s="81">
        <v>13.291685541793296</v>
      </c>
      <c r="F376" s="81">
        <v>11.893985940469205</v>
      </c>
      <c r="G376" s="81">
        <v>11.981810997376289</v>
      </c>
      <c r="H376" s="81">
        <v>12.518876179939713</v>
      </c>
      <c r="I376" s="81">
        <v>8.6808446130471584</v>
      </c>
      <c r="J376" s="81">
        <v>9.4847750147411176</v>
      </c>
      <c r="K376" s="81">
        <v>18.836169977096144</v>
      </c>
      <c r="L376" s="81">
        <v>14.062812887757216</v>
      </c>
      <c r="M376" s="81">
        <v>12.548934413697779</v>
      </c>
      <c r="N376" s="81">
        <v>0</v>
      </c>
      <c r="O376" s="81">
        <v>140.81222182000042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v>12.900819608105445</v>
      </c>
      <c r="D378" s="85">
        <v>14.611506645977061</v>
      </c>
      <c r="E378" s="85">
        <v>13.291685541793296</v>
      </c>
      <c r="F378" s="85">
        <v>11.893985940469205</v>
      </c>
      <c r="G378" s="85">
        <v>11.981810997376289</v>
      </c>
      <c r="H378" s="85">
        <v>12.518876179939713</v>
      </c>
      <c r="I378" s="85">
        <v>8.6808446130471584</v>
      </c>
      <c r="J378" s="85">
        <v>9.4847750147411176</v>
      </c>
      <c r="K378" s="85">
        <v>18.836169977096144</v>
      </c>
      <c r="L378" s="85">
        <v>14.062812887757216</v>
      </c>
      <c r="M378" s="85">
        <v>12.548934413697779</v>
      </c>
      <c r="N378" s="85">
        <v>0</v>
      </c>
      <c r="O378" s="85">
        <v>140.81222182000042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v>11.940139274351917</v>
      </c>
      <c r="D379" s="132">
        <v>13.295047921055895</v>
      </c>
      <c r="E379" s="132">
        <v>8.9089809207022235</v>
      </c>
      <c r="F379" s="132">
        <v>10.73393983939471</v>
      </c>
      <c r="G379" s="132">
        <v>10.651037454017416</v>
      </c>
      <c r="H379" s="132">
        <v>10.572352869456534</v>
      </c>
      <c r="I379" s="132">
        <v>6.2981534958982861</v>
      </c>
      <c r="J379" s="132">
        <v>7.7891293486704782</v>
      </c>
      <c r="K379" s="132">
        <v>16.329491762716046</v>
      </c>
      <c r="L379" s="132">
        <v>12.276712528554821</v>
      </c>
      <c r="M379" s="132">
        <v>10.322616726079659</v>
      </c>
      <c r="N379" s="132">
        <v>0</v>
      </c>
      <c r="O379" s="88">
        <v>119.117602140898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v>8.707993345510362E-2</v>
      </c>
      <c r="D380" s="132">
        <v>0.40786945029674609</v>
      </c>
      <c r="E380" s="132">
        <v>3.2489673642949395</v>
      </c>
      <c r="F380" s="132">
        <v>1.5507372080600388E-2</v>
      </c>
      <c r="G380" s="132">
        <v>1.5522670441112239E-2</v>
      </c>
      <c r="H380" s="132">
        <v>1.5499418301362958E-2</v>
      </c>
      <c r="I380" s="132">
        <v>0</v>
      </c>
      <c r="J380" s="132">
        <v>0</v>
      </c>
      <c r="K380" s="132">
        <v>2.3845557532726088E-3</v>
      </c>
      <c r="L380" s="132">
        <v>1.3117611357165734E-3</v>
      </c>
      <c r="M380" s="132">
        <v>1.3747496544526249E-3</v>
      </c>
      <c r="N380" s="132">
        <v>0</v>
      </c>
      <c r="O380" s="88">
        <v>3.7955172754133066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v>0.70319252261754706</v>
      </c>
      <c r="D381" s="132">
        <v>0.70186306302584645</v>
      </c>
      <c r="E381" s="132">
        <v>0.65514898506226082</v>
      </c>
      <c r="F381" s="132">
        <v>0.65686237440123285</v>
      </c>
      <c r="G381" s="132">
        <v>0.83134509078304641</v>
      </c>
      <c r="H381" s="132">
        <v>0.95503952679874948</v>
      </c>
      <c r="I381" s="132">
        <v>1.0186797236151033</v>
      </c>
      <c r="J381" s="132">
        <v>1.141532719528944</v>
      </c>
      <c r="K381" s="132">
        <v>1.0215306823587449</v>
      </c>
      <c r="L381" s="132">
        <v>1.191731148509841</v>
      </c>
      <c r="M381" s="132">
        <v>1.2293515874023297</v>
      </c>
      <c r="N381" s="132">
        <v>0</v>
      </c>
      <c r="O381" s="88">
        <v>10.106277424103645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v>0.17040787768087609</v>
      </c>
      <c r="D382" s="132">
        <v>0.20672621159857338</v>
      </c>
      <c r="E382" s="132">
        <v>0.47858827173387081</v>
      </c>
      <c r="F382" s="132">
        <v>0.48767635459266323</v>
      </c>
      <c r="G382" s="132">
        <v>0.48390578213471402</v>
      </c>
      <c r="H382" s="132">
        <v>0.97598436538306688</v>
      </c>
      <c r="I382" s="132">
        <v>1.3640113935337681</v>
      </c>
      <c r="J382" s="132">
        <v>0.55411294654169418</v>
      </c>
      <c r="K382" s="132">
        <v>1.482762976268081</v>
      </c>
      <c r="L382" s="132">
        <v>0.59305744955683626</v>
      </c>
      <c r="M382" s="132">
        <v>0.9955913505613383</v>
      </c>
      <c r="N382" s="132">
        <v>0</v>
      </c>
      <c r="O382" s="88">
        <v>7.7928249795854816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v>3.0236953629526733</v>
      </c>
      <c r="D387" s="152">
        <v>3.3807706295355335</v>
      </c>
      <c r="E387" s="152">
        <v>6.7008542877681823</v>
      </c>
      <c r="F387" s="152">
        <v>3.3793138157330138</v>
      </c>
      <c r="G387" s="152">
        <v>3.7222509701924666</v>
      </c>
      <c r="H387" s="152">
        <v>4.3074808067458141</v>
      </c>
      <c r="I387" s="152">
        <v>3.7751227410849792</v>
      </c>
      <c r="J387" s="152">
        <v>3.6877021525150169</v>
      </c>
      <c r="K387" s="152">
        <v>5.581380929368029</v>
      </c>
      <c r="L387" s="152">
        <v>7.8957932829152382</v>
      </c>
      <c r="M387" s="152">
        <v>4.006961558559702</v>
      </c>
      <c r="N387" s="152">
        <v>0</v>
      </c>
      <c r="O387" s="152">
        <v>49.461326537370653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v>3.0236953629526733</v>
      </c>
      <c r="D391" s="154">
        <v>3.3807706295355335</v>
      </c>
      <c r="E391" s="154">
        <v>6.7008542877681823</v>
      </c>
      <c r="F391" s="154">
        <v>3.3793138157330138</v>
      </c>
      <c r="G391" s="154">
        <v>3.7222509701924666</v>
      </c>
      <c r="H391" s="154">
        <v>4.3074808067458141</v>
      </c>
      <c r="I391" s="154">
        <v>3.7751227410849792</v>
      </c>
      <c r="J391" s="154">
        <v>3.6877021525150169</v>
      </c>
      <c r="K391" s="154">
        <v>5.581380929368029</v>
      </c>
      <c r="L391" s="154">
        <v>7.8957932829152382</v>
      </c>
      <c r="M391" s="154">
        <v>4.006961558559702</v>
      </c>
      <c r="N391" s="154">
        <v>0</v>
      </c>
      <c r="O391" s="154">
        <v>49.461326537370653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v>2.6021648361674945</v>
      </c>
      <c r="D392" s="132">
        <v>2.5750849167251895</v>
      </c>
      <c r="E392" s="132">
        <v>3.2320346187586821</v>
      </c>
      <c r="F392" s="132">
        <v>2.6648096413965834</v>
      </c>
      <c r="G392" s="132">
        <v>2.6781202206913624</v>
      </c>
      <c r="H392" s="132">
        <v>3.462050224942145</v>
      </c>
      <c r="I392" s="132">
        <v>2.9089705288518704</v>
      </c>
      <c r="J392" s="132">
        <v>3.3038014796073827</v>
      </c>
      <c r="K392" s="132">
        <v>4.8941139466868684</v>
      </c>
      <c r="L392" s="132">
        <v>3.1603371018913879</v>
      </c>
      <c r="M392" s="132">
        <v>2.7676577912118137</v>
      </c>
      <c r="N392" s="132">
        <v>0</v>
      </c>
      <c r="O392" s="88">
        <v>34.249145306930778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0.19853282549972989</v>
      </c>
      <c r="D393" s="132">
        <v>0.52275347248041193</v>
      </c>
      <c r="E393" s="132">
        <v>0.5584086827566761</v>
      </c>
      <c r="F393" s="132">
        <v>0.48490440937710716</v>
      </c>
      <c r="G393" s="132">
        <v>0.52161256564289471</v>
      </c>
      <c r="H393" s="132">
        <v>0.43626890249239403</v>
      </c>
      <c r="I393" s="132">
        <v>0.43732224087167548</v>
      </c>
      <c r="J393" s="132">
        <v>0.17330791909086982</v>
      </c>
      <c r="K393" s="132">
        <v>0.37291939621910181</v>
      </c>
      <c r="L393" s="132">
        <v>0.12091376647597678</v>
      </c>
      <c r="M393" s="132">
        <v>0.57280145923246184</v>
      </c>
      <c r="N393" s="132">
        <v>0</v>
      </c>
      <c r="O393" s="88">
        <v>4.3997456401393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0.18972974265304896</v>
      </c>
      <c r="D394" s="132">
        <v>0.20932732646204261</v>
      </c>
      <c r="E394" s="132">
        <v>0.24976400913461372</v>
      </c>
      <c r="F394" s="132">
        <v>0.19710115856488578</v>
      </c>
      <c r="G394" s="132">
        <v>0.39591742942825314</v>
      </c>
      <c r="H394" s="132">
        <v>0.22590638047957323</v>
      </c>
      <c r="I394" s="132">
        <v>0.36839418364349708</v>
      </c>
      <c r="J394" s="132">
        <v>0.19525069246391588</v>
      </c>
      <c r="K394" s="132">
        <v>5.8804323719586306E-2</v>
      </c>
      <c r="L394" s="132">
        <v>0.19393422880307748</v>
      </c>
      <c r="M394" s="132">
        <v>0.33471958283969416</v>
      </c>
      <c r="N394" s="132">
        <v>0</v>
      </c>
      <c r="O394" s="88">
        <v>2.6188490581921879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3.3267958632399473E-2</v>
      </c>
      <c r="D395" s="132">
        <v>7.3604913867889449E-2</v>
      </c>
      <c r="E395" s="132">
        <v>2.6606469771182106</v>
      </c>
      <c r="F395" s="132">
        <v>3.2498606394437489E-2</v>
      </c>
      <c r="G395" s="132">
        <v>0.12660075442995622</v>
      </c>
      <c r="H395" s="132">
        <v>0.18325529883170127</v>
      </c>
      <c r="I395" s="132">
        <v>6.0435787717936347E-2</v>
      </c>
      <c r="J395" s="132">
        <v>1.5342061352848371E-2</v>
      </c>
      <c r="K395" s="132">
        <v>0.25554326274247252</v>
      </c>
      <c r="L395" s="132">
        <v>4.4206081857447961</v>
      </c>
      <c r="M395" s="132">
        <v>0.33178272527573266</v>
      </c>
      <c r="N395" s="132">
        <v>0</v>
      </c>
      <c r="O395" s="88">
        <v>8.1935865321083803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v>9.8771242451527712</v>
      </c>
      <c r="D400" s="157">
        <v>11.230736016441528</v>
      </c>
      <c r="E400" s="157">
        <v>6.5908312540251135</v>
      </c>
      <c r="F400" s="157">
        <v>8.5146721247361921</v>
      </c>
      <c r="G400" s="157">
        <v>8.2595600271838236</v>
      </c>
      <c r="H400" s="157">
        <v>8.2113953731938985</v>
      </c>
      <c r="I400" s="157">
        <v>4.9057218719621787</v>
      </c>
      <c r="J400" s="157">
        <v>5.7970728622261003</v>
      </c>
      <c r="K400" s="157">
        <v>13.254789047728115</v>
      </c>
      <c r="L400" s="157">
        <v>6.1670196048419781</v>
      </c>
      <c r="M400" s="157">
        <v>8.5419728551380771</v>
      </c>
      <c r="N400" s="157">
        <v>0</v>
      </c>
      <c r="O400" s="157">
        <v>91.350895282629764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v>0.491526010822121</v>
      </c>
      <c r="D402" s="152">
        <v>0.5685005284576774</v>
      </c>
      <c r="E402" s="152">
        <v>1.4137634423986716</v>
      </c>
      <c r="F402" s="152">
        <v>0.70077336018845293</v>
      </c>
      <c r="G402" s="152">
        <v>1.3431355155609477</v>
      </c>
      <c r="H402" s="152">
        <v>1.6114294201569168</v>
      </c>
      <c r="I402" s="152">
        <v>1.6430501695934652</v>
      </c>
      <c r="J402" s="152">
        <v>0.62462076914602471</v>
      </c>
      <c r="K402" s="152">
        <v>1.468728777814972</v>
      </c>
      <c r="L402" s="152">
        <v>4.3089721625222728</v>
      </c>
      <c r="M402" s="152">
        <v>0.93826439398747563</v>
      </c>
      <c r="N402" s="152">
        <v>0</v>
      </c>
      <c r="O402" s="152">
        <v>15.112764550648999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v>0.491526010822121</v>
      </c>
      <c r="D403" s="132">
        <v>0.5685005284576774</v>
      </c>
      <c r="E403" s="132">
        <v>1.4137634423986716</v>
      </c>
      <c r="F403" s="132">
        <v>0.70077336018845293</v>
      </c>
      <c r="G403" s="132">
        <v>1.3431355155609477</v>
      </c>
      <c r="H403" s="132">
        <v>1.6114294201569168</v>
      </c>
      <c r="I403" s="132">
        <v>1.6430501695934652</v>
      </c>
      <c r="J403" s="132">
        <v>0.62462076914602471</v>
      </c>
      <c r="K403" s="132">
        <v>1.468728777814972</v>
      </c>
      <c r="L403" s="132">
        <v>4.3089721625222728</v>
      </c>
      <c r="M403" s="132">
        <v>0.93826439398747563</v>
      </c>
      <c r="N403" s="132">
        <v>0</v>
      </c>
      <c r="O403" s="88">
        <v>15.112764550648999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v>9.3855982343306508</v>
      </c>
      <c r="D405" s="138">
        <v>10.66223548798385</v>
      </c>
      <c r="E405" s="138">
        <v>5.1770678116264417</v>
      </c>
      <c r="F405" s="138">
        <v>7.8138987645477389</v>
      </c>
      <c r="G405" s="138">
        <v>6.9164245116228757</v>
      </c>
      <c r="H405" s="138">
        <v>6.5999659530369819</v>
      </c>
      <c r="I405" s="138">
        <v>3.2626717023687135</v>
      </c>
      <c r="J405" s="138">
        <v>5.1724520930800759</v>
      </c>
      <c r="K405" s="138">
        <v>11.786060269913143</v>
      </c>
      <c r="L405" s="138">
        <v>1.8580474423197053</v>
      </c>
      <c r="M405" s="138">
        <v>7.6037084611506014</v>
      </c>
      <c r="N405" s="138">
        <v>0</v>
      </c>
      <c r="O405" s="138">
        <v>76.23813073198076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v>-9.3855982343306525</v>
      </c>
      <c r="D407" s="112">
        <v>-10.662235487983851</v>
      </c>
      <c r="E407" s="112">
        <v>-5.1770678116264399</v>
      </c>
      <c r="F407" s="112">
        <v>-7.8138987645477389</v>
      </c>
      <c r="G407" s="112">
        <v>-6.9164245116228731</v>
      </c>
      <c r="H407" s="112">
        <v>-6.5999659530369845</v>
      </c>
      <c r="I407" s="112">
        <v>-3.2626717023687108</v>
      </c>
      <c r="J407" s="112">
        <v>-5.1724520930800759</v>
      </c>
      <c r="K407" s="112">
        <v>-11.786060269913147</v>
      </c>
      <c r="L407" s="112">
        <v>-1.8580474423197053</v>
      </c>
      <c r="M407" s="112">
        <v>-92.399202233188063</v>
      </c>
      <c r="N407" s="112">
        <v>0</v>
      </c>
      <c r="O407" s="112">
        <v>-161.03362450401823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v>-9.3855982343306525</v>
      </c>
      <c r="D408" s="149">
        <v>-10.662235487983851</v>
      </c>
      <c r="E408" s="149">
        <v>-5.1770678116264399</v>
      </c>
      <c r="F408" s="149">
        <v>-7.8138987645477389</v>
      </c>
      <c r="G408" s="149">
        <v>-6.9164245116228731</v>
      </c>
      <c r="H408" s="149">
        <v>-6.5999659530369845</v>
      </c>
      <c r="I408" s="149">
        <v>-3.2626717023687108</v>
      </c>
      <c r="J408" s="149">
        <v>-5.1724520930800759</v>
      </c>
      <c r="K408" s="149">
        <v>-11.786060269913147</v>
      </c>
      <c r="L408" s="149">
        <v>-1.8580474423197053</v>
      </c>
      <c r="M408" s="149">
        <v>-92.399202233188063</v>
      </c>
      <c r="N408" s="149">
        <v>0</v>
      </c>
      <c r="O408" s="150">
        <v>-161.03362450401823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v>-9.3855982343306525</v>
      </c>
      <c r="D410" s="134">
        <v>-10.662235487983851</v>
      </c>
      <c r="E410" s="134">
        <v>-5.1770678116264399</v>
      </c>
      <c r="F410" s="134">
        <v>-7.8138987645477389</v>
      </c>
      <c r="G410" s="134">
        <v>-6.9164245116228731</v>
      </c>
      <c r="H410" s="134">
        <v>-6.5999659530369845</v>
      </c>
      <c r="I410" s="134">
        <v>-3.2626717023687108</v>
      </c>
      <c r="J410" s="134">
        <v>-5.1724520930800759</v>
      </c>
      <c r="K410" s="134">
        <v>-11.786060269913147</v>
      </c>
      <c r="L410" s="134">
        <v>-1.8580474423197053</v>
      </c>
      <c r="M410" s="134">
        <v>-92.399202233188063</v>
      </c>
      <c r="N410" s="134">
        <v>0</v>
      </c>
      <c r="O410" s="135">
        <v>-161.03362450401823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-84.79549377203746</v>
      </c>
      <c r="N418" s="160">
        <v>0</v>
      </c>
      <c r="O418" s="160">
        <v>-84.795493772037474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490" t="s">
        <v>379</v>
      </c>
      <c r="C420" s="490"/>
      <c r="D420" s="490"/>
      <c r="E420" s="490"/>
      <c r="F420" s="490"/>
      <c r="G420" s="490"/>
      <c r="H420" s="490"/>
      <c r="I420" s="490"/>
      <c r="J420" s="490"/>
      <c r="K420" s="490"/>
      <c r="L420" s="490"/>
      <c r="M420" s="490"/>
      <c r="N420" s="490"/>
      <c r="O420" s="490"/>
      <c r="P420" s="77"/>
      <c r="Q420" s="77"/>
      <c r="R420" s="77"/>
      <c r="S420" s="77"/>
    </row>
    <row r="421" spans="1:29" s="123" customFormat="1" ht="14.4" x14ac:dyDescent="0.3">
      <c r="B421" s="491" t="s">
        <v>371</v>
      </c>
      <c r="C421" s="491"/>
      <c r="D421" s="491"/>
      <c r="E421" s="491"/>
      <c r="F421" s="491"/>
      <c r="G421" s="491"/>
      <c r="H421" s="491"/>
      <c r="I421" s="491"/>
      <c r="J421" s="491"/>
      <c r="K421" s="491"/>
      <c r="L421" s="491"/>
      <c r="M421" s="491"/>
      <c r="N421" s="491"/>
      <c r="O421" s="491"/>
      <c r="P421" s="77"/>
      <c r="Q421" s="77"/>
      <c r="R421" s="77"/>
      <c r="S421" s="77"/>
    </row>
    <row r="422" spans="1:29" s="123" customFormat="1" ht="14.4" x14ac:dyDescent="0.3">
      <c r="B422" s="492" t="s">
        <v>95</v>
      </c>
      <c r="C422" s="492"/>
      <c r="D422" s="492"/>
      <c r="E422" s="492"/>
      <c r="F422" s="492"/>
      <c r="G422" s="492"/>
      <c r="H422" s="492"/>
      <c r="I422" s="492"/>
      <c r="J422" s="492"/>
      <c r="K422" s="492"/>
      <c r="L422" s="492"/>
      <c r="M422" s="492"/>
      <c r="N422" s="492"/>
      <c r="O422" s="492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493" t="s">
        <v>96</v>
      </c>
      <c r="C424" s="495" t="s">
        <v>372</v>
      </c>
      <c r="D424" s="496"/>
      <c r="E424" s="496"/>
      <c r="F424" s="496"/>
      <c r="G424" s="496"/>
      <c r="H424" s="496"/>
      <c r="I424" s="496"/>
      <c r="J424" s="496"/>
      <c r="K424" s="496"/>
      <c r="L424" s="496"/>
      <c r="M424" s="496"/>
      <c r="N424" s="497"/>
      <c r="O424" s="498" t="s">
        <v>373</v>
      </c>
      <c r="P424" s="77"/>
      <c r="Q424" s="77"/>
      <c r="R424" s="77"/>
      <c r="S424" s="77"/>
    </row>
    <row r="425" spans="1:29" s="123" customFormat="1" ht="14.4" x14ac:dyDescent="0.3">
      <c r="B425" s="494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499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v>11.456435234493581</v>
      </c>
      <c r="D426" s="81">
        <v>8.1794576432781145</v>
      </c>
      <c r="E426" s="81">
        <v>7.7453588754399343</v>
      </c>
      <c r="F426" s="81">
        <v>9.1372340814235535</v>
      </c>
      <c r="G426" s="81">
        <v>8.7611598344877439</v>
      </c>
      <c r="H426" s="81">
        <v>8.4596337569014359</v>
      </c>
      <c r="I426" s="81">
        <v>8.0798829969438195</v>
      </c>
      <c r="J426" s="81">
        <v>8.0713488587117137</v>
      </c>
      <c r="K426" s="81">
        <v>13.887310402403143</v>
      </c>
      <c r="L426" s="81">
        <v>6.9846580759491861</v>
      </c>
      <c r="M426" s="81">
        <v>10.471242287946744</v>
      </c>
      <c r="N426" s="81">
        <v>0</v>
      </c>
      <c r="O426" s="81">
        <v>101.23372204797899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v>11.413971169595156</v>
      </c>
      <c r="D428" s="85">
        <v>7.0775051637955952</v>
      </c>
      <c r="E428" s="85">
        <v>7.0620342965755647</v>
      </c>
      <c r="F428" s="85">
        <v>6.6423357279342863</v>
      </c>
      <c r="G428" s="85">
        <v>7.8381782881555306</v>
      </c>
      <c r="H428" s="85">
        <v>8.296523471181148</v>
      </c>
      <c r="I428" s="85">
        <v>7.9632271071550953</v>
      </c>
      <c r="J428" s="85">
        <v>7.9573198659097741</v>
      </c>
      <c r="K428" s="85">
        <v>13.77406198964041</v>
      </c>
      <c r="L428" s="85">
        <v>6.8698677551265952</v>
      </c>
      <c r="M428" s="85">
        <v>10.260700471249049</v>
      </c>
      <c r="N428" s="85">
        <v>0</v>
      </c>
      <c r="O428" s="85">
        <v>95.155725306318217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v>11.413971169595156</v>
      </c>
      <c r="D432" s="132">
        <v>7.0775051637955952</v>
      </c>
      <c r="E432" s="132">
        <v>7.0620342965755647</v>
      </c>
      <c r="F432" s="132">
        <v>6.6423357279342863</v>
      </c>
      <c r="G432" s="132">
        <v>7.8381782881555306</v>
      </c>
      <c r="H432" s="132">
        <v>8.296523471181148</v>
      </c>
      <c r="I432" s="132">
        <v>7.9632271071550953</v>
      </c>
      <c r="J432" s="132">
        <v>7.9573198659097741</v>
      </c>
      <c r="K432" s="132">
        <v>13.77406198964041</v>
      </c>
      <c r="L432" s="132">
        <v>6.8698677551265952</v>
      </c>
      <c r="M432" s="132">
        <v>10.260700471249049</v>
      </c>
      <c r="N432" s="132">
        <v>0</v>
      </c>
      <c r="O432" s="88">
        <v>95.155725306318217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v>4.2464064898424705E-2</v>
      </c>
      <c r="D436" s="85">
        <v>1.1019524794825188</v>
      </c>
      <c r="E436" s="85">
        <v>0.68332457886436992</v>
      </c>
      <c r="F436" s="85">
        <v>2.4948983534892681</v>
      </c>
      <c r="G436" s="85">
        <v>0.92298154633221263</v>
      </c>
      <c r="H436" s="85">
        <v>0.16311028572028752</v>
      </c>
      <c r="I436" s="85">
        <v>0.11665588978872501</v>
      </c>
      <c r="J436" s="85">
        <v>0.11402899280193932</v>
      </c>
      <c r="K436" s="85">
        <v>0.11324841276273367</v>
      </c>
      <c r="L436" s="85">
        <v>0.11479032082259118</v>
      </c>
      <c r="M436" s="85">
        <v>0.21054181669769539</v>
      </c>
      <c r="N436" s="85">
        <v>0</v>
      </c>
      <c r="O436" s="85">
        <v>6.0779967416607654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v>4.2464064898424705E-2</v>
      </c>
      <c r="D437" s="132">
        <v>1.1019524794825188</v>
      </c>
      <c r="E437" s="132">
        <v>0.68332457886436992</v>
      </c>
      <c r="F437" s="132">
        <v>2.4948983534892681</v>
      </c>
      <c r="G437" s="132">
        <v>0.92298154633221263</v>
      </c>
      <c r="H437" s="132">
        <v>0.16311028572028752</v>
      </c>
      <c r="I437" s="132">
        <v>0.11665588978872501</v>
      </c>
      <c r="J437" s="132">
        <v>0.11402899280193932</v>
      </c>
      <c r="K437" s="132">
        <v>0.11324841276273367</v>
      </c>
      <c r="L437" s="132">
        <v>0.11479032082259118</v>
      </c>
      <c r="M437" s="132">
        <v>0.21054181669769539</v>
      </c>
      <c r="N437" s="132">
        <v>0</v>
      </c>
      <c r="O437" s="88">
        <v>6.0779967416607654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v>1.4893529858935111</v>
      </c>
      <c r="D439" s="152">
        <v>2.2974096507897164</v>
      </c>
      <c r="E439" s="152">
        <v>2.4594323047145603</v>
      </c>
      <c r="F439" s="152">
        <v>3.0937179968999851</v>
      </c>
      <c r="G439" s="152">
        <v>4.20150914349672</v>
      </c>
      <c r="H439" s="152">
        <v>2.1908750779857784</v>
      </c>
      <c r="I439" s="152">
        <v>3.2088759369601858</v>
      </c>
      <c r="J439" s="152">
        <v>2.7508819764693424</v>
      </c>
      <c r="K439" s="152">
        <v>2.848553096425237</v>
      </c>
      <c r="L439" s="152">
        <v>4.769971004758105</v>
      </c>
      <c r="M439" s="152">
        <v>3.8627690151547203</v>
      </c>
      <c r="N439" s="152">
        <v>0</v>
      </c>
      <c r="O439" s="152">
        <v>33.173348189547859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v>1.4893529858935111</v>
      </c>
      <c r="D440" s="154">
        <v>2.2974096507897164</v>
      </c>
      <c r="E440" s="154">
        <v>2.4594323047145603</v>
      </c>
      <c r="F440" s="154">
        <v>3.0937179968999851</v>
      </c>
      <c r="G440" s="154">
        <v>2.1525599326139746</v>
      </c>
      <c r="H440" s="154">
        <v>2.1908750779857784</v>
      </c>
      <c r="I440" s="154">
        <v>3.2088759369601858</v>
      </c>
      <c r="J440" s="154">
        <v>2.7508819764693424</v>
      </c>
      <c r="K440" s="154">
        <v>2.848553096425237</v>
      </c>
      <c r="L440" s="154">
        <v>2.5408619838235063</v>
      </c>
      <c r="M440" s="154">
        <v>3.8627690151547203</v>
      </c>
      <c r="N440" s="154">
        <v>0</v>
      </c>
      <c r="O440" s="154">
        <v>28.895289957730515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v>1.2202924202275904</v>
      </c>
      <c r="D441" s="132">
        <v>1.5328568010630534</v>
      </c>
      <c r="E441" s="132">
        <v>1.9090692893869294</v>
      </c>
      <c r="F441" s="132">
        <v>1.9050815846855762</v>
      </c>
      <c r="G441" s="132">
        <v>1.539432054344603</v>
      </c>
      <c r="H441" s="132">
        <v>1.3967390637855397</v>
      </c>
      <c r="I441" s="132">
        <v>2.5322514457405818</v>
      </c>
      <c r="J441" s="132">
        <v>1.8146749778185884</v>
      </c>
      <c r="K441" s="132">
        <v>1.5580837976356174</v>
      </c>
      <c r="L441" s="132">
        <v>1.6253383008842042</v>
      </c>
      <c r="M441" s="132">
        <v>2.8554894475825785</v>
      </c>
      <c r="N441" s="132">
        <v>0</v>
      </c>
      <c r="O441" s="88">
        <v>19.889309183154861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0.10044382701757093</v>
      </c>
      <c r="D442" s="132">
        <v>0.54560283871056581</v>
      </c>
      <c r="E442" s="132">
        <v>0.31931774113256672</v>
      </c>
      <c r="F442" s="132">
        <v>0.81259581655618129</v>
      </c>
      <c r="G442" s="132">
        <v>0.30971194212305303</v>
      </c>
      <c r="H442" s="132">
        <v>0.5787184506825287</v>
      </c>
      <c r="I442" s="132">
        <v>0.47829584268719971</v>
      </c>
      <c r="J442" s="132">
        <v>0.39368269844046883</v>
      </c>
      <c r="K442" s="132">
        <v>0.48757381666343652</v>
      </c>
      <c r="L442" s="132">
        <v>0.57323972530748957</v>
      </c>
      <c r="M442" s="132">
        <v>0.3590454296070632</v>
      </c>
      <c r="N442" s="132">
        <v>0</v>
      </c>
      <c r="O442" s="88">
        <v>4.9582281289281243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3.5153301947467269E-2</v>
      </c>
      <c r="D443" s="132">
        <v>5.7460359262472283E-2</v>
      </c>
      <c r="E443" s="132">
        <v>0.16262040527885988</v>
      </c>
      <c r="F443" s="132">
        <v>0.21634933612393054</v>
      </c>
      <c r="G443" s="132">
        <v>0.12325494455542156</v>
      </c>
      <c r="H443" s="132">
        <v>0.18858650819769701</v>
      </c>
      <c r="I443" s="132">
        <v>0.16054749910832303</v>
      </c>
      <c r="J443" s="132">
        <v>0.2963956427171815</v>
      </c>
      <c r="K443" s="132">
        <v>0.58556755774414637</v>
      </c>
      <c r="L443" s="132">
        <v>0.17632159779594825</v>
      </c>
      <c r="M443" s="132">
        <v>0.3130276501368085</v>
      </c>
      <c r="N443" s="132">
        <v>0</v>
      </c>
      <c r="O443" s="88">
        <v>2.315284802868256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0.1334634367008824</v>
      </c>
      <c r="D444" s="132">
        <v>0.16148965175362498</v>
      </c>
      <c r="E444" s="132">
        <v>6.8424868916204556E-2</v>
      </c>
      <c r="F444" s="132">
        <v>0.15969125953429719</v>
      </c>
      <c r="G444" s="132">
        <v>0.18016099159089727</v>
      </c>
      <c r="H444" s="132">
        <v>2.6831055320013026E-2</v>
      </c>
      <c r="I444" s="132">
        <v>3.7781149424081582E-2</v>
      </c>
      <c r="J444" s="132">
        <v>0.24612865749310367</v>
      </c>
      <c r="K444" s="132">
        <v>0.2173279243820363</v>
      </c>
      <c r="L444" s="132">
        <v>0.16596235983586399</v>
      </c>
      <c r="M444" s="132">
        <v>0.33520648782826995</v>
      </c>
      <c r="N444" s="132">
        <v>0</v>
      </c>
      <c r="O444" s="88">
        <v>1.732467842779275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v>0</v>
      </c>
      <c r="D446" s="102">
        <v>0</v>
      </c>
      <c r="E446" s="102">
        <v>0</v>
      </c>
      <c r="F446" s="102">
        <v>0</v>
      </c>
      <c r="G446" s="102">
        <v>2.0489492108827454</v>
      </c>
      <c r="H446" s="102">
        <v>0</v>
      </c>
      <c r="I446" s="102">
        <v>0</v>
      </c>
      <c r="J446" s="102">
        <v>0</v>
      </c>
      <c r="K446" s="102">
        <v>0</v>
      </c>
      <c r="L446" s="102">
        <v>2.2291090209345987</v>
      </c>
      <c r="M446" s="102">
        <v>0</v>
      </c>
      <c r="N446" s="102">
        <v>0</v>
      </c>
      <c r="O446" s="102">
        <v>4.2780582318173437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2.0489492108827454</v>
      </c>
      <c r="H447" s="132">
        <v>0</v>
      </c>
      <c r="I447" s="132">
        <v>0</v>
      </c>
      <c r="J447" s="132">
        <v>0</v>
      </c>
      <c r="K447" s="132">
        <v>0</v>
      </c>
      <c r="L447" s="132">
        <v>2.2291090209345987</v>
      </c>
      <c r="M447" s="132">
        <v>0</v>
      </c>
      <c r="N447" s="132">
        <v>0</v>
      </c>
      <c r="O447" s="88">
        <v>4.2780582318173437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v>9.9670822486000699</v>
      </c>
      <c r="D449" s="157">
        <v>5.8820479924883982</v>
      </c>
      <c r="E449" s="157">
        <v>5.2859265707253744</v>
      </c>
      <c r="F449" s="157">
        <v>6.0435160845235689</v>
      </c>
      <c r="G449" s="157">
        <v>4.5596506909910239</v>
      </c>
      <c r="H449" s="157">
        <v>6.268758678915658</v>
      </c>
      <c r="I449" s="157">
        <v>4.8710070599836337</v>
      </c>
      <c r="J449" s="157">
        <v>5.3204668822423713</v>
      </c>
      <c r="K449" s="157">
        <v>11.038757305977906</v>
      </c>
      <c r="L449" s="157">
        <v>2.2146870711910811</v>
      </c>
      <c r="M449" s="157">
        <v>6.6084732727920237</v>
      </c>
      <c r="N449" s="157">
        <v>0</v>
      </c>
      <c r="O449" s="157">
        <v>68.06037385843112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v>0</v>
      </c>
      <c r="D451" s="152">
        <v>7.0967024001321918E-2</v>
      </c>
      <c r="E451" s="152">
        <v>2.0788492788737689</v>
      </c>
      <c r="F451" s="152">
        <v>2.0768731148143931</v>
      </c>
      <c r="G451" s="152">
        <v>0.78868925820774116</v>
      </c>
      <c r="H451" s="152">
        <v>0.35454002062115542</v>
      </c>
      <c r="I451" s="152">
        <v>0.82081678817951043</v>
      </c>
      <c r="J451" s="152">
        <v>1.3556472901705059</v>
      </c>
      <c r="K451" s="152">
        <v>0.560367108828556</v>
      </c>
      <c r="L451" s="152">
        <v>1.8044776245220224</v>
      </c>
      <c r="M451" s="152">
        <v>0.37332010803644472</v>
      </c>
      <c r="N451" s="152">
        <v>0</v>
      </c>
      <c r="O451" s="152">
        <v>10.28454761625542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v>0</v>
      </c>
      <c r="D452" s="132">
        <v>7.0967024001321918E-2</v>
      </c>
      <c r="E452" s="132">
        <v>2.0788492788737689</v>
      </c>
      <c r="F452" s="132">
        <v>2.0768731148143931</v>
      </c>
      <c r="G452" s="132">
        <v>0.78868925820774116</v>
      </c>
      <c r="H452" s="132">
        <v>0.35454002062115542</v>
      </c>
      <c r="I452" s="132">
        <v>0.82081678817951043</v>
      </c>
      <c r="J452" s="132">
        <v>1.3556472901705059</v>
      </c>
      <c r="K452" s="132">
        <v>0.560367108828556</v>
      </c>
      <c r="L452" s="132">
        <v>1.8044776245220224</v>
      </c>
      <c r="M452" s="132">
        <v>0.37332010803644472</v>
      </c>
      <c r="N452" s="132">
        <v>0</v>
      </c>
      <c r="O452" s="88">
        <v>10.28454761625542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v>9.9670822486000699</v>
      </c>
      <c r="D454" s="138">
        <v>5.8110809684870759</v>
      </c>
      <c r="E454" s="138">
        <v>3.2070772918516055</v>
      </c>
      <c r="F454" s="138">
        <v>3.9666429697091758</v>
      </c>
      <c r="G454" s="138">
        <v>3.7709614327832828</v>
      </c>
      <c r="H454" s="138">
        <v>5.9142186582945024</v>
      </c>
      <c r="I454" s="138">
        <v>4.0501902718041229</v>
      </c>
      <c r="J454" s="138">
        <v>3.9648195920718656</v>
      </c>
      <c r="K454" s="138">
        <v>10.47839019714935</v>
      </c>
      <c r="L454" s="138">
        <v>0.41020944666905867</v>
      </c>
      <c r="M454" s="138">
        <v>6.2351531647555793</v>
      </c>
      <c r="N454" s="138">
        <v>0</v>
      </c>
      <c r="O454" s="138">
        <v>57.775826242175697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v>-9.9670822486000699</v>
      </c>
      <c r="D456" s="112">
        <v>-5.8110809684870759</v>
      </c>
      <c r="E456" s="112">
        <v>-3.2070772918516059</v>
      </c>
      <c r="F456" s="112">
        <v>-3.9666429697091758</v>
      </c>
      <c r="G456" s="112">
        <v>-3.7709614327832828</v>
      </c>
      <c r="H456" s="112">
        <v>-5.9142186582945016</v>
      </c>
      <c r="I456" s="112">
        <v>-4.0501902718041247</v>
      </c>
      <c r="J456" s="112">
        <v>-3.9648195920718647</v>
      </c>
      <c r="K456" s="112">
        <v>-10.478390197149348</v>
      </c>
      <c r="L456" s="112">
        <v>-0.41020944666905867</v>
      </c>
      <c r="M456" s="112">
        <v>-6.2351531647555793</v>
      </c>
      <c r="N456" s="112">
        <v>0</v>
      </c>
      <c r="O456" s="112">
        <v>-57.77582624217569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v>-9.9670822486000699</v>
      </c>
      <c r="D457" s="149">
        <v>-5.8110809684870759</v>
      </c>
      <c r="E457" s="149">
        <v>-3.2070772918516059</v>
      </c>
      <c r="F457" s="149">
        <v>-3.9666429697091758</v>
      </c>
      <c r="G457" s="149">
        <v>-3.7709614327832828</v>
      </c>
      <c r="H457" s="149">
        <v>-5.9142186582945016</v>
      </c>
      <c r="I457" s="149">
        <v>-4.0501902718041247</v>
      </c>
      <c r="J457" s="149">
        <v>-3.9648195920718647</v>
      </c>
      <c r="K457" s="149">
        <v>-10.478390197149348</v>
      </c>
      <c r="L457" s="149">
        <v>-0.41020944666905867</v>
      </c>
      <c r="M457" s="149">
        <v>-6.2351531647555793</v>
      </c>
      <c r="N457" s="149">
        <v>0</v>
      </c>
      <c r="O457" s="150">
        <v>-57.77582624217569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v>-9.9670822486000699</v>
      </c>
      <c r="D459" s="134">
        <v>-5.8110809684870759</v>
      </c>
      <c r="E459" s="134">
        <v>-3.2070772918516059</v>
      </c>
      <c r="F459" s="134">
        <v>-3.9666429697091758</v>
      </c>
      <c r="G459" s="134">
        <v>-3.7709614327832828</v>
      </c>
      <c r="H459" s="134">
        <v>-5.9142186582945016</v>
      </c>
      <c r="I459" s="134">
        <v>-4.0501902718041247</v>
      </c>
      <c r="J459" s="134">
        <v>-3.9648195920718647</v>
      </c>
      <c r="K459" s="134">
        <v>-10.478390197149348</v>
      </c>
      <c r="L459" s="134">
        <v>-0.41020944666905867</v>
      </c>
      <c r="M459" s="134">
        <v>-6.2351531647555793</v>
      </c>
      <c r="N459" s="134">
        <v>0</v>
      </c>
      <c r="O459" s="135">
        <v>-57.77582624217569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9:O9"/>
    <mergeCell ref="B10:O10"/>
    <mergeCell ref="B11:O11"/>
    <mergeCell ref="B13:B14"/>
    <mergeCell ref="C13:N13"/>
    <mergeCell ref="O13:O14"/>
    <mergeCell ref="B82:O82"/>
    <mergeCell ref="B83:O83"/>
    <mergeCell ref="B84:O84"/>
    <mergeCell ref="B86:B87"/>
    <mergeCell ref="C86:N86"/>
    <mergeCell ref="O86:O87"/>
    <mergeCell ref="B155:O155"/>
    <mergeCell ref="B156:O156"/>
    <mergeCell ref="B157:O157"/>
    <mergeCell ref="B159:B160"/>
    <mergeCell ref="C159:N159"/>
    <mergeCell ref="O159:O160"/>
    <mergeCell ref="B228:O228"/>
    <mergeCell ref="B229:O229"/>
    <mergeCell ref="B230:O230"/>
    <mergeCell ref="B232:B233"/>
    <mergeCell ref="C232:N232"/>
    <mergeCell ref="O232:O233"/>
    <mergeCell ref="B301:O301"/>
    <mergeCell ref="B302:O302"/>
    <mergeCell ref="B303:O303"/>
    <mergeCell ref="B305:B306"/>
    <mergeCell ref="C305:N305"/>
    <mergeCell ref="O305:O306"/>
    <mergeCell ref="B370:O370"/>
    <mergeCell ref="B371:O371"/>
    <mergeCell ref="B372:O372"/>
    <mergeCell ref="B374:B375"/>
    <mergeCell ref="C374:N374"/>
    <mergeCell ref="O374:O375"/>
    <mergeCell ref="B420:O420"/>
    <mergeCell ref="B421:O421"/>
    <mergeCell ref="B422:O422"/>
    <mergeCell ref="B424:B425"/>
    <mergeCell ref="C424:N424"/>
    <mergeCell ref="O424:O425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9"/>
  <sheetViews>
    <sheetView showGridLines="0" topLeftCell="A166" zoomScale="86" zoomScaleNormal="86" zoomScaleSheetLayoutView="85" workbookViewId="0">
      <selection activeCell="B155" sqref="B155:D190"/>
    </sheetView>
  </sheetViews>
  <sheetFormatPr baseColWidth="10" defaultColWidth="11.44140625" defaultRowHeight="14.4" outlineLevelRow="1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03" t="s">
        <v>329</v>
      </c>
      <c r="C11" s="503"/>
      <c r="D11" s="503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03" t="s">
        <v>183</v>
      </c>
      <c r="C12" s="503"/>
      <c r="D12" s="503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03" t="s">
        <v>184</v>
      </c>
      <c r="C13" s="503"/>
      <c r="D13" s="503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04" t="s">
        <v>95</v>
      </c>
      <c r="C14" s="504"/>
      <c r="D14" s="504"/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69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44501</v>
      </c>
      <c r="D16" s="443" t="s">
        <v>318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6">
        <f t="shared" ref="C17:C42" si="0">+SUM(C53,C89,C125)</f>
        <v>37.308718386974441</v>
      </c>
      <c r="D17" s="440">
        <f t="shared" ref="D17:D42" si="1">+SUM(C17:C17)</f>
        <v>37.308718386974441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6">
        <f t="shared" si="0"/>
        <v>18.393739711601985</v>
      </c>
      <c r="D18" s="440">
        <f t="shared" si="1"/>
        <v>18.393739711601985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6">
        <f t="shared" si="0"/>
        <v>0</v>
      </c>
      <c r="D19" s="440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6">
        <f t="shared" si="0"/>
        <v>18.914978675372456</v>
      </c>
      <c r="D20" s="440">
        <f t="shared" si="1"/>
        <v>18.914978675372456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6">
        <f t="shared" si="0"/>
        <v>20.822502936206014</v>
      </c>
      <c r="D21" s="440">
        <f t="shared" si="1"/>
        <v>20.822502936206014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6">
        <f t="shared" si="0"/>
        <v>6.5185604369725461E-4</v>
      </c>
      <c r="D22" s="440">
        <f t="shared" si="1"/>
        <v>6.5185604369725461E-4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6">
        <f t="shared" si="0"/>
        <v>1.7750252194177216E-6</v>
      </c>
      <c r="D23" s="440">
        <f t="shared" si="1"/>
        <v>1.7750252194177216E-6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6">
        <f t="shared" si="0"/>
        <v>8.500789095369821E-5</v>
      </c>
      <c r="D24" s="440">
        <f t="shared" si="1"/>
        <v>8.500789095369821E-5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6">
        <f t="shared" si="0"/>
        <v>5.6677785471506454E-5</v>
      </c>
      <c r="D25" s="440">
        <f t="shared" si="1"/>
        <v>5.6677785471506454E-5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6">
        <f t="shared" si="0"/>
        <v>4.5090912925347011E-4</v>
      </c>
      <c r="D26" s="440">
        <f t="shared" si="1"/>
        <v>4.5090912925347011E-4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6">
        <f t="shared" si="0"/>
        <v>2.8869642850866249E-4</v>
      </c>
      <c r="D27" s="440">
        <f t="shared" si="1"/>
        <v>2.8869642850866249E-4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6">
        <f t="shared" si="0"/>
        <v>2.9917083475393934E-4</v>
      </c>
      <c r="D28" s="440">
        <f t="shared" si="1"/>
        <v>2.9917083475393934E-4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6">
        <f t="shared" si="0"/>
        <v>6.7204915238152155E-5</v>
      </c>
      <c r="D29" s="440">
        <f t="shared" si="1"/>
        <v>6.7204915238152155E-5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6">
        <f t="shared" si="0"/>
        <v>1.6100005975332423E-4</v>
      </c>
      <c r="D30" s="440">
        <f t="shared" si="1"/>
        <v>1.6100005975332423E-4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6">
        <f t="shared" si="0"/>
        <v>1.5516532338850559E-4</v>
      </c>
      <c r="D31" s="440">
        <f t="shared" si="1"/>
        <v>1.5516532338850559E-4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6">
        <f t="shared" si="0"/>
        <v>0.55391403000000006</v>
      </c>
      <c r="D32" s="440">
        <f t="shared" si="1"/>
        <v>0.55391403000000006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6">
        <f t="shared" si="0"/>
        <v>2.1616643761225717E-4</v>
      </c>
      <c r="D33" s="440">
        <f t="shared" si="1"/>
        <v>2.1616643761225717E-4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6">
        <f t="shared" si="0"/>
        <v>4.6502145847319718E-5</v>
      </c>
      <c r="D34" s="440">
        <f t="shared" si="1"/>
        <v>4.6502145847319718E-5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6">
        <f t="shared" si="0"/>
        <v>1.04659631</v>
      </c>
      <c r="D35" s="440">
        <f t="shared" si="1"/>
        <v>1.04659631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6">
        <f t="shared" si="0"/>
        <v>0.62360068999999996</v>
      </c>
      <c r="D36" s="440">
        <f t="shared" si="1"/>
        <v>0.62360068999999996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6">
        <f t="shared" si="0"/>
        <v>1.1399999999999999</v>
      </c>
      <c r="D37" s="440">
        <f t="shared" si="1"/>
        <v>1.1399999999999999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6">
        <f t="shared" si="0"/>
        <v>1</v>
      </c>
      <c r="D38" s="440">
        <f t="shared" si="1"/>
        <v>1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6">
        <f t="shared" si="0"/>
        <v>0.59927896999999997</v>
      </c>
      <c r="D39" s="440">
        <f t="shared" si="1"/>
        <v>0.59927896999999997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6">
        <f t="shared" si="0"/>
        <v>0.76</v>
      </c>
      <c r="D40" s="440">
        <f t="shared" si="1"/>
        <v>0.76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6">
        <f t="shared" si="0"/>
        <v>0.77860308</v>
      </c>
      <c r="D41" s="440">
        <f t="shared" si="1"/>
        <v>0.77860308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6">
        <f t="shared" si="0"/>
        <v>0</v>
      </c>
      <c r="D42" s="440">
        <f t="shared" si="1"/>
        <v>0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9" t="s">
        <v>201</v>
      </c>
      <c r="C43" s="440">
        <f>SUM(C21:C42,C17)</f>
        <v>64.635694535200159</v>
      </c>
      <c r="D43" s="440">
        <f>SUM(D21:D42,D17)</f>
        <v>64.635694535200159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9" t="s">
        <v>202</v>
      </c>
      <c r="C45" s="440">
        <f>+C43</f>
        <v>64.635694535200159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03" t="str">
        <f>$B$11</f>
        <v>Deuda Corriente a Noviembre 2021</v>
      </c>
      <c r="C47" s="503"/>
      <c r="D47" s="503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03" t="s">
        <v>183</v>
      </c>
      <c r="C48" s="503"/>
      <c r="D48" s="503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03" t="s">
        <v>18</v>
      </c>
      <c r="C49" s="503"/>
      <c r="D49" s="503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04" t="s">
        <v>95</v>
      </c>
      <c r="C50" s="504"/>
      <c r="D50" s="504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44501</v>
      </c>
      <c r="D52" s="443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6">
        <f>+C54+C55+C56</f>
        <v>11.27</v>
      </c>
      <c r="D53" s="441">
        <f>SUM(D54:D56)</f>
        <v>11.27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6">
        <v>5.52</v>
      </c>
      <c r="D54" s="441">
        <f t="shared" ref="D54:D78" si="2">SUM(C54:C54)</f>
        <v>5.52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6">
        <v>0</v>
      </c>
      <c r="D55" s="441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6">
        <v>5.75</v>
      </c>
      <c r="D56" s="441">
        <f t="shared" si="2"/>
        <v>5.75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6">
        <v>15.4</v>
      </c>
      <c r="D57" s="441">
        <f t="shared" si="2"/>
        <v>15.4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6">
        <v>0</v>
      </c>
      <c r="D58" s="441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6">
        <v>0</v>
      </c>
      <c r="D59" s="441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8">
        <v>0</v>
      </c>
      <c r="D60" s="441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8">
        <v>0</v>
      </c>
      <c r="D61" s="441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8">
        <v>0</v>
      </c>
      <c r="D62" s="441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8">
        <v>0</v>
      </c>
      <c r="D63" s="441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8">
        <v>0</v>
      </c>
      <c r="D64" s="441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8">
        <v>0</v>
      </c>
      <c r="D65" s="441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8">
        <v>0</v>
      </c>
      <c r="D66" s="441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8">
        <v>0</v>
      </c>
      <c r="D67" s="441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8">
        <v>0</v>
      </c>
      <c r="D68" s="441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8">
        <v>0</v>
      </c>
      <c r="D69" s="441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8">
        <v>0</v>
      </c>
      <c r="D70" s="441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6">
        <v>0</v>
      </c>
      <c r="D71" s="441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7">
        <v>0</v>
      </c>
      <c r="D72" s="441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7">
        <v>1.1399999999999999</v>
      </c>
      <c r="D73" s="441">
        <f t="shared" si="2"/>
        <v>1.1399999999999999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8">
        <v>1</v>
      </c>
      <c r="D74" s="441">
        <f t="shared" si="2"/>
        <v>1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8">
        <v>0</v>
      </c>
      <c r="D75" s="441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8">
        <v>0.76</v>
      </c>
      <c r="D76" s="441">
        <f t="shared" si="2"/>
        <v>0.76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8">
        <v>0</v>
      </c>
      <c r="D77" s="441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8">
        <v>0</v>
      </c>
      <c r="D78" s="441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9" t="s">
        <v>201</v>
      </c>
      <c r="C79" s="442">
        <f>SUM(C57:C78,C53)</f>
        <v>29.57</v>
      </c>
      <c r="D79" s="442">
        <f>SUM(D57:D78,D53)</f>
        <v>29.57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6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9" t="s">
        <v>202</v>
      </c>
      <c r="C81" s="442">
        <f>+C79</f>
        <v>29.57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03" t="str">
        <f>$B$11</f>
        <v>Deuda Corriente a Noviembre 2021</v>
      </c>
      <c r="C83" s="503"/>
      <c r="D83" s="503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03" t="s">
        <v>183</v>
      </c>
      <c r="C84" s="503"/>
      <c r="D84" s="503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03" t="s">
        <v>19</v>
      </c>
      <c r="C85" s="503"/>
      <c r="D85" s="503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04" t="s">
        <v>95</v>
      </c>
      <c r="C86" s="504"/>
      <c r="D86" s="504"/>
      <c r="E86" s="469"/>
      <c r="F86" s="469"/>
      <c r="G86" s="469"/>
      <c r="H86" s="469"/>
      <c r="I86" s="469"/>
      <c r="J86" s="469"/>
      <c r="K86" s="469"/>
      <c r="L86" s="469"/>
      <c r="M86" s="469"/>
      <c r="N86" s="469"/>
      <c r="O86" s="469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44501</v>
      </c>
      <c r="D88" s="443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6">
        <f>+C90+C91+C92</f>
        <v>14.3000075473214</v>
      </c>
      <c r="D89" s="440">
        <f>SUM(D90:D92)</f>
        <v>14.3000075473214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6">
        <v>7.0797230420579753</v>
      </c>
      <c r="D90" s="440">
        <f t="shared" ref="D90:D114" si="3">SUM(C90:C90)</f>
        <v>7.0797230420579753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6">
        <v>0</v>
      </c>
      <c r="D91" s="440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6">
        <v>7.2202845052634244</v>
      </c>
      <c r="D92" s="440">
        <f t="shared" si="3"/>
        <v>7.2202845052634244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6">
        <v>4.1354671684669411</v>
      </c>
      <c r="D93" s="440">
        <f t="shared" si="3"/>
        <v>4.1354671684669411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6">
        <v>6.5185604369725461E-4</v>
      </c>
      <c r="D94" s="440">
        <f t="shared" si="3"/>
        <v>6.5185604369725461E-4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6">
        <v>1.7750252194177216E-6</v>
      </c>
      <c r="D95" s="440">
        <f t="shared" si="3"/>
        <v>1.7750252194177216E-6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6">
        <v>8.500789095369821E-5</v>
      </c>
      <c r="D96" s="440">
        <f t="shared" si="3"/>
        <v>8.500789095369821E-5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6">
        <v>5.6677785471506454E-5</v>
      </c>
      <c r="D97" s="440">
        <f t="shared" si="3"/>
        <v>5.6677785471506454E-5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6">
        <v>4.5090912925347011E-4</v>
      </c>
      <c r="D98" s="440">
        <f t="shared" si="3"/>
        <v>4.5090912925347011E-4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6">
        <v>2.8869642850866249E-4</v>
      </c>
      <c r="D99" s="440">
        <f t="shared" si="3"/>
        <v>2.8869642850866249E-4</v>
      </c>
      <c r="E99" s="445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6">
        <v>2.9917083475393934E-4</v>
      </c>
      <c r="D100" s="440">
        <f t="shared" si="3"/>
        <v>2.9917083475393934E-4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6">
        <v>6.7204915238152155E-5</v>
      </c>
      <c r="D101" s="440">
        <f t="shared" si="3"/>
        <v>6.7204915238152155E-5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6">
        <v>1.6100005975332423E-4</v>
      </c>
      <c r="D102" s="440">
        <f t="shared" si="3"/>
        <v>1.6100005975332423E-4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6">
        <v>1.5516532338850559E-4</v>
      </c>
      <c r="D103" s="440">
        <f t="shared" si="3"/>
        <v>1.5516532338850559E-4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6">
        <v>0</v>
      </c>
      <c r="D104" s="440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6">
        <v>2.1616643761225717E-4</v>
      </c>
      <c r="D105" s="440">
        <f t="shared" si="3"/>
        <v>2.1616643761225717E-4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6">
        <v>4.6502145847319718E-5</v>
      </c>
      <c r="D106" s="440">
        <f t="shared" si="3"/>
        <v>4.6502145847319718E-5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6">
        <v>1.04659631</v>
      </c>
      <c r="D107" s="440">
        <f t="shared" si="3"/>
        <v>1.04659631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6">
        <v>0</v>
      </c>
      <c r="D108" s="440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6">
        <v>0</v>
      </c>
      <c r="D109" s="440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6">
        <v>0</v>
      </c>
      <c r="D110" s="440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6">
        <v>0.59927896999999997</v>
      </c>
      <c r="D111" s="440">
        <f t="shared" si="3"/>
        <v>0.59927896999999997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6">
        <v>0</v>
      </c>
      <c r="D112" s="440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6">
        <v>0.77860308</v>
      </c>
      <c r="D113" s="440">
        <f t="shared" si="3"/>
        <v>0.77860308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6">
        <v>0</v>
      </c>
      <c r="D114" s="440">
        <f t="shared" si="3"/>
        <v>0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9" t="s">
        <v>201</v>
      </c>
      <c r="C115" s="440">
        <f>SUM(C93:C114,C89)</f>
        <v>20.862433207808039</v>
      </c>
      <c r="D115" s="440">
        <f>SUM(D93:D114,D89)</f>
        <v>20.862433207808039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9" t="s">
        <v>202</v>
      </c>
      <c r="C117" s="440">
        <f>+C115</f>
        <v>20.862433207808039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03" t="str">
        <f>$B$11</f>
        <v>Deuda Corriente a Noviembre 2021</v>
      </c>
      <c r="C119" s="503"/>
      <c r="D119" s="503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03" t="str">
        <f>+B84</f>
        <v xml:space="preserve">Compra de Energía, Potencia y Derecho de Conexión con las Empresas Generadoras Privadas </v>
      </c>
      <c r="C120" s="503"/>
      <c r="D120" s="503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03" t="s">
        <v>20</v>
      </c>
      <c r="C121" s="503"/>
      <c r="D121" s="503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04" t="s">
        <v>95</v>
      </c>
      <c r="C122" s="504"/>
      <c r="D122" s="504"/>
      <c r="E122" s="469"/>
      <c r="F122" s="469"/>
      <c r="G122" s="469"/>
      <c r="H122" s="469"/>
      <c r="I122" s="469"/>
      <c r="J122" s="469"/>
      <c r="K122" s="469"/>
      <c r="L122" s="469"/>
      <c r="M122" s="469"/>
      <c r="N122" s="469"/>
      <c r="O122" s="469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44501</v>
      </c>
      <c r="D124" s="443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6">
        <f>+C126+C127+C128</f>
        <v>11.738710839653043</v>
      </c>
      <c r="D125" s="440">
        <f>SUM(D126:D128)</f>
        <v>11.738710839653043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6">
        <v>5.7940166695440114</v>
      </c>
      <c r="D126" s="440">
        <f t="shared" ref="D126:D150" si="4">SUM(C126:C126)</f>
        <v>5.7940166695440114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6">
        <v>0</v>
      </c>
      <c r="D127" s="440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6">
        <v>5.9446941701090319</v>
      </c>
      <c r="D128" s="440">
        <f t="shared" si="4"/>
        <v>5.9446941701090319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6">
        <v>1.2870357677390749</v>
      </c>
      <c r="D129" s="440">
        <f t="shared" si="4"/>
        <v>1.2870357677390749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6">
        <v>0</v>
      </c>
      <c r="D130" s="440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6">
        <v>0</v>
      </c>
      <c r="D131" s="440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8">
        <v>0</v>
      </c>
      <c r="D132" s="440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8">
        <v>0</v>
      </c>
      <c r="D133" s="440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8">
        <v>0</v>
      </c>
      <c r="D134" s="440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8">
        <v>0</v>
      </c>
      <c r="D135" s="440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8">
        <v>0</v>
      </c>
      <c r="D136" s="440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8">
        <v>0</v>
      </c>
      <c r="D137" s="440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8">
        <v>0</v>
      </c>
      <c r="D138" s="440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8">
        <v>0</v>
      </c>
      <c r="D139" s="440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8">
        <v>0.55391403000000006</v>
      </c>
      <c r="D140" s="440">
        <f t="shared" si="4"/>
        <v>0.55391403000000006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8">
        <v>0</v>
      </c>
      <c r="D141" s="440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6">
        <v>0</v>
      </c>
      <c r="D142" s="440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7">
        <v>0</v>
      </c>
      <c r="D143" s="440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7">
        <v>0.62360068999999996</v>
      </c>
      <c r="D144" s="440">
        <f t="shared" si="4"/>
        <v>0.62360068999999996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8">
        <v>0</v>
      </c>
      <c r="D145" s="440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8">
        <v>0</v>
      </c>
      <c r="D146" s="440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8">
        <v>0</v>
      </c>
      <c r="D147" s="440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8">
        <v>0</v>
      </c>
      <c r="D148" s="440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8">
        <v>0</v>
      </c>
      <c r="D149" s="440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8">
        <v>0</v>
      </c>
      <c r="D150" s="440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9" t="s">
        <v>201</v>
      </c>
      <c r="C151" s="440">
        <f>SUM(C129:C150,C125)</f>
        <v>14.203261327392118</v>
      </c>
      <c r="D151" s="440">
        <f>SUM(D129:D150,D125)</f>
        <v>14.203261327392118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9" t="s">
        <v>202</v>
      </c>
      <c r="C153" s="440">
        <f>+C151</f>
        <v>14.203261327392118</v>
      </c>
      <c r="D153" s="373"/>
      <c r="E153" s="373"/>
      <c r="F153" s="373"/>
      <c r="G153" s="373"/>
      <c r="H153" s="369"/>
    </row>
    <row r="154" spans="1:40" s="231" customFormat="1" x14ac:dyDescent="0.3">
      <c r="B154" s="466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03" t="str">
        <f>$B$11</f>
        <v>Deuda Corriente a Noviembre 2021</v>
      </c>
      <c r="C155" s="503"/>
      <c r="D155" s="503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03" t="s">
        <v>183</v>
      </c>
      <c r="C156" s="503"/>
      <c r="D156" s="503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04" t="s">
        <v>111</v>
      </c>
      <c r="C157" s="504"/>
      <c r="D157" s="504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08" t="s">
        <v>95</v>
      </c>
      <c r="C159" s="508"/>
      <c r="D159" s="508"/>
      <c r="E159" s="470"/>
      <c r="F159" s="470"/>
      <c r="G159" s="470"/>
      <c r="H159" s="470"/>
      <c r="I159" s="470"/>
      <c r="J159" s="470"/>
      <c r="K159" s="470"/>
      <c r="L159" s="470"/>
      <c r="M159" s="470"/>
      <c r="N159" s="470"/>
      <c r="O159" s="470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44501</v>
      </c>
      <c r="D160" s="443" t="s">
        <v>318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6">
        <f>+C162+C163+C164</f>
        <v>39.804290198398917</v>
      </c>
      <c r="D161" s="441">
        <f>SUM(C161:C161)</f>
        <v>39.804290198398917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6">
        <v>0.34149190079264335</v>
      </c>
      <c r="D162" s="441">
        <f t="shared" ref="D162:D187" si="5">SUM(C162:C162)</f>
        <v>0.34149190079264335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6">
        <v>39.462798755985446</v>
      </c>
      <c r="D163" s="441">
        <f t="shared" si="5"/>
        <v>39.462798755985446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6">
        <v>-4.5837917125045834E-7</v>
      </c>
      <c r="D164" s="441">
        <f t="shared" si="5"/>
        <v>-4.5837917125045834E-7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6">
        <v>39.576838673112753</v>
      </c>
      <c r="D165" s="441">
        <f t="shared" si="5"/>
        <v>39.576838673112753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6">
        <v>15.701609559999991</v>
      </c>
      <c r="D166" s="441">
        <f t="shared" si="5"/>
        <v>15.701609559999991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6">
        <v>20.35982829868269</v>
      </c>
      <c r="D167" s="441">
        <f t="shared" si="5"/>
        <v>20.35982829868269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6">
        <v>6.8649939352909634E-3</v>
      </c>
      <c r="D168" s="441">
        <f t="shared" si="5"/>
        <v>6.8649939352909634E-3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6">
        <v>2.7966691701221407E-3</v>
      </c>
      <c r="D169" s="441">
        <f t="shared" si="5"/>
        <v>2.7966691701221407E-3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6">
        <v>0.11408360271924629</v>
      </c>
      <c r="D170" s="441">
        <f t="shared" si="5"/>
        <v>0.11408360271924629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6">
        <v>0</v>
      </c>
      <c r="D171" s="441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6">
        <v>1.4765345977546473</v>
      </c>
      <c r="D172" s="441">
        <f t="shared" si="5"/>
        <v>1.4765345977546473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6">
        <v>0</v>
      </c>
      <c r="D173" s="441">
        <f t="shared" si="5"/>
        <v>0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6">
        <v>0.44844096975402664</v>
      </c>
      <c r="D174" s="441">
        <f t="shared" si="5"/>
        <v>0.44844096975402664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6">
        <v>0.8388536371896419</v>
      </c>
      <c r="D175" s="441">
        <f t="shared" si="5"/>
        <v>0.8388536371896419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6">
        <v>0</v>
      </c>
      <c r="D176" s="441">
        <f t="shared" si="5"/>
        <v>0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6">
        <v>2.1722254485063899E-2</v>
      </c>
      <c r="D177" s="441">
        <f t="shared" si="5"/>
        <v>2.1722254485063899E-2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6">
        <v>0</v>
      </c>
      <c r="D178" s="441">
        <f t="shared" si="5"/>
        <v>0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6">
        <v>0.10101638440749204</v>
      </c>
      <c r="D179" s="441">
        <f t="shared" si="5"/>
        <v>0.10101638440749204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320</v>
      </c>
      <c r="C180" s="436">
        <v>0</v>
      </c>
      <c r="D180" s="441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6">
        <v>0</v>
      </c>
      <c r="D181" s="441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6">
        <v>0</v>
      </c>
      <c r="D182" s="441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6">
        <v>0</v>
      </c>
      <c r="D183" s="441">
        <f t="shared" si="5"/>
        <v>0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6">
        <v>0</v>
      </c>
      <c r="D184" s="441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6">
        <v>0</v>
      </c>
      <c r="D185" s="441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6">
        <v>0</v>
      </c>
      <c r="D186" s="441">
        <f t="shared" si="5"/>
        <v>0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321</v>
      </c>
      <c r="C187" s="436">
        <v>0</v>
      </c>
      <c r="D187" s="441">
        <f t="shared" si="5"/>
        <v>0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9" t="s">
        <v>201</v>
      </c>
      <c r="C188" s="440">
        <f>SUM(C165:C187,C161)</f>
        <v>118.45287983960989</v>
      </c>
      <c r="D188" s="440">
        <f>SUM(D165:D187,D161)</f>
        <v>118.45287983960989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9" t="s">
        <v>202</v>
      </c>
      <c r="C190" s="440">
        <f>+C188</f>
        <v>118.45287983960989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5" t="s">
        <v>330</v>
      </c>
      <c r="AQ192" s="179"/>
    </row>
    <row r="193" spans="1:43" x14ac:dyDescent="0.3">
      <c r="A193" s="177"/>
      <c r="B193" s="433"/>
      <c r="AQ193" s="179"/>
    </row>
    <row r="194" spans="1:43" x14ac:dyDescent="0.3">
      <c r="A194" s="177"/>
      <c r="B194" s="434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05" t="s">
        <v>331</v>
      </c>
      <c r="C203" s="505"/>
      <c r="D203" s="505"/>
      <c r="E203" s="505"/>
      <c r="F203" s="505"/>
      <c r="G203" s="505"/>
      <c r="H203" s="505"/>
      <c r="I203" s="505"/>
      <c r="J203" s="505"/>
      <c r="K203" s="505"/>
      <c r="L203" s="505"/>
      <c r="M203" s="505"/>
      <c r="N203" s="505"/>
      <c r="O203" s="505"/>
      <c r="P203" s="505"/>
      <c r="Q203" s="505"/>
      <c r="AQ203" s="179"/>
    </row>
    <row r="204" spans="1:43" ht="15" customHeight="1" x14ac:dyDescent="0.3">
      <c r="A204" s="177"/>
      <c r="B204" s="505"/>
      <c r="C204" s="505"/>
      <c r="D204" s="505"/>
      <c r="E204" s="505"/>
      <c r="F204" s="505"/>
      <c r="G204" s="505"/>
      <c r="H204" s="505"/>
      <c r="I204" s="505"/>
      <c r="J204" s="505"/>
      <c r="K204" s="505"/>
      <c r="L204" s="505"/>
      <c r="M204" s="505"/>
      <c r="N204" s="505"/>
      <c r="O204" s="505"/>
      <c r="P204" s="505"/>
      <c r="Q204" s="505"/>
      <c r="AQ204" s="179"/>
    </row>
    <row r="205" spans="1:43" x14ac:dyDescent="0.3">
      <c r="A205" s="177"/>
      <c r="B205" s="506" t="s">
        <v>203</v>
      </c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6"/>
      <c r="N205" s="506"/>
      <c r="O205" s="506"/>
      <c r="P205" s="506"/>
      <c r="Q205" s="506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40.619999999999997</v>
      </c>
      <c r="D208" s="269">
        <f>SUM(D209:D210)</f>
        <v>39.61846835520889</v>
      </c>
      <c r="E208" s="269">
        <f>SUM(E209:E210)</f>
        <v>21.918436333299393</v>
      </c>
      <c r="F208" s="270">
        <f t="shared" ref="F208:F219" si="8">SUM(C208:E208)</f>
        <v>102.15690468850828</v>
      </c>
      <c r="AF208" s="179"/>
    </row>
    <row r="209" spans="1:32" x14ac:dyDescent="0.3">
      <c r="A209" s="177"/>
      <c r="B209" s="192" t="s">
        <v>208</v>
      </c>
      <c r="C209" s="271">
        <v>13.04</v>
      </c>
      <c r="D209" s="271">
        <v>16.012899324392222</v>
      </c>
      <c r="E209" s="271">
        <v>15.971521024995221</v>
      </c>
      <c r="F209" s="272">
        <f t="shared" si="8"/>
        <v>45.024420349387441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27.58</v>
      </c>
      <c r="D210" s="271">
        <v>23.605569030816667</v>
      </c>
      <c r="E210" s="271">
        <v>5.9469153083041721</v>
      </c>
      <c r="F210" s="272">
        <f t="shared" si="8"/>
        <v>57.132484339120836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41.66</v>
      </c>
      <c r="D211" s="269">
        <f>SUM(D212:D213)</f>
        <v>38.672349824953699</v>
      </c>
      <c r="E211" s="269">
        <f>SUM(E212:E213)</f>
        <v>40.703869348119952</v>
      </c>
      <c r="F211" s="270">
        <f t="shared" si="8"/>
        <v>121.03621917307365</v>
      </c>
      <c r="AF211" s="179"/>
    </row>
    <row r="212" spans="1:32" x14ac:dyDescent="0.3">
      <c r="A212" s="177"/>
      <c r="B212" s="192" t="s">
        <v>208</v>
      </c>
      <c r="C212" s="271">
        <v>20.91</v>
      </c>
      <c r="D212" s="271">
        <v>20.266940303061787</v>
      </c>
      <c r="E212" s="271">
        <v>19.706907500896577</v>
      </c>
      <c r="F212" s="272">
        <f t="shared" si="8"/>
        <v>60.883847803958361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20.75</v>
      </c>
      <c r="D213" s="271">
        <v>18.405409521891915</v>
      </c>
      <c r="E213" s="271">
        <v>20.996961847223371</v>
      </c>
      <c r="F213" s="272">
        <f t="shared" si="8"/>
        <v>60.152371369115286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43.76</v>
      </c>
      <c r="D214" s="269">
        <f>SUM(D215:D216)</f>
        <v>50.898871795597671</v>
      </c>
      <c r="E214" s="269">
        <f>SUM(E215:E216)</f>
        <v>37.062949689651916</v>
      </c>
      <c r="F214" s="270">
        <f t="shared" si="8"/>
        <v>131.72182148524956</v>
      </c>
      <c r="AF214" s="179"/>
    </row>
    <row r="215" spans="1:32" x14ac:dyDescent="0.3">
      <c r="A215" s="177"/>
      <c r="B215" s="192" t="s">
        <v>208</v>
      </c>
      <c r="C215" s="271">
        <v>19.059999999999999</v>
      </c>
      <c r="D215" s="271">
        <v>19.650774870050515</v>
      </c>
      <c r="E215" s="271">
        <v>20.379458842557423</v>
      </c>
      <c r="F215" s="272">
        <f t="shared" si="8"/>
        <v>59.09023371260794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209</v>
      </c>
      <c r="C216" s="271">
        <v>24.7</v>
      </c>
      <c r="D216" s="271">
        <v>31.248096925547159</v>
      </c>
      <c r="E216" s="271">
        <v>16.68349084709449</v>
      </c>
      <c r="F216" s="272">
        <f t="shared" si="8"/>
        <v>72.631587772641652</v>
      </c>
      <c r="G216" s="271"/>
      <c r="O216" s="268"/>
      <c r="P216" s="268"/>
      <c r="Q216" s="268"/>
      <c r="R216" s="268"/>
      <c r="AF216" s="179"/>
    </row>
    <row r="217" spans="1:32" x14ac:dyDescent="0.3">
      <c r="A217" s="177"/>
      <c r="B217" s="191" t="s">
        <v>8</v>
      </c>
      <c r="C217" s="269">
        <f>SUM(C218:C219)</f>
        <v>36.28</v>
      </c>
      <c r="D217" s="269">
        <f>SUM(D218:D219)</f>
        <v>32.06242755749355</v>
      </c>
      <c r="E217" s="269">
        <f>SUM(E218:E219)</f>
        <v>47.977536424955481</v>
      </c>
      <c r="F217" s="270">
        <f t="shared" si="8"/>
        <v>116.31996398244902</v>
      </c>
      <c r="AF217" s="179"/>
    </row>
    <row r="218" spans="1:32" x14ac:dyDescent="0.3">
      <c r="A218" s="177"/>
      <c r="B218" s="192" t="s">
        <v>208</v>
      </c>
      <c r="C218" s="271">
        <v>19.05</v>
      </c>
      <c r="D218" s="271">
        <v>13.658378910374305</v>
      </c>
      <c r="E218" s="271">
        <v>17.13958211215661</v>
      </c>
      <c r="F218" s="272">
        <f t="shared" si="8"/>
        <v>49.847961022530917</v>
      </c>
      <c r="O218" s="268"/>
      <c r="P218" s="268"/>
      <c r="Q218" s="268"/>
      <c r="R218" s="268"/>
      <c r="AF218" s="179"/>
    </row>
    <row r="219" spans="1:32" x14ac:dyDescent="0.3">
      <c r="A219" s="177"/>
      <c r="B219" s="192" t="s">
        <v>209</v>
      </c>
      <c r="C219" s="271">
        <v>17.23</v>
      </c>
      <c r="D219" s="271">
        <v>18.404048647119243</v>
      </c>
      <c r="E219" s="271">
        <v>30.837954312798871</v>
      </c>
      <c r="F219" s="272">
        <f t="shared" si="8"/>
        <v>66.472002959918115</v>
      </c>
      <c r="O219" s="268"/>
      <c r="P219" s="268"/>
      <c r="Q219" s="268"/>
      <c r="R219" s="268"/>
      <c r="AF219" s="179"/>
    </row>
    <row r="220" spans="1:32" x14ac:dyDescent="0.3">
      <c r="A220" s="177"/>
      <c r="B220" s="191" t="s">
        <v>9</v>
      </c>
      <c r="C220" s="269">
        <f>SUM(C221:C222)</f>
        <v>34.01</v>
      </c>
      <c r="D220" s="269">
        <f>SUM(D221:D222)</f>
        <v>62.01814335171305</v>
      </c>
      <c r="E220" s="269">
        <f>SUM(E221:E222)</f>
        <v>42.409885774661817</v>
      </c>
      <c r="F220" s="270">
        <f>SUM(F221:F222)</f>
        <v>138.43802912637486</v>
      </c>
      <c r="AF220" s="179"/>
    </row>
    <row r="221" spans="1:32" x14ac:dyDescent="0.3">
      <c r="A221" s="177"/>
      <c r="B221" s="192" t="s">
        <v>208</v>
      </c>
      <c r="C221" s="271">
        <v>15.45</v>
      </c>
      <c r="D221" s="271">
        <v>17.906250199954052</v>
      </c>
      <c r="E221" s="271">
        <v>22.729014783867754</v>
      </c>
      <c r="F221" s="272">
        <f>SUM(C221:E221)</f>
        <v>56.085264983821801</v>
      </c>
      <c r="O221" s="268"/>
      <c r="P221" s="268"/>
      <c r="Q221" s="268"/>
      <c r="R221" s="268"/>
      <c r="AF221" s="179"/>
    </row>
    <row r="222" spans="1:32" ht="15.75" customHeight="1" x14ac:dyDescent="0.3">
      <c r="A222" s="177"/>
      <c r="B222" s="192" t="s">
        <v>209</v>
      </c>
      <c r="C222" s="271">
        <v>18.559999999999999</v>
      </c>
      <c r="D222" s="271">
        <v>44.111893151758998</v>
      </c>
      <c r="E222" s="271">
        <v>19.680870990794062</v>
      </c>
      <c r="F222" s="272">
        <f>SUM(C222:E222)</f>
        <v>82.352764142553056</v>
      </c>
      <c r="O222" s="268"/>
      <c r="P222" s="268"/>
      <c r="Q222" s="268"/>
      <c r="R222" s="268"/>
      <c r="AF222" s="179"/>
    </row>
    <row r="223" spans="1:32" x14ac:dyDescent="0.3">
      <c r="A223" s="177"/>
      <c r="B223" s="191" t="s">
        <v>10</v>
      </c>
      <c r="C223" s="269">
        <f>SUM(C224:C225)</f>
        <v>39.020000000000003</v>
      </c>
      <c r="D223" s="269">
        <f>SUM(D224:D225)</f>
        <v>42.28</v>
      </c>
      <c r="E223" s="269">
        <f>SUM(E224:E225)</f>
        <v>27.980000000000004</v>
      </c>
      <c r="F223" s="270">
        <f>SUM(F224:F225)</f>
        <v>109.28</v>
      </c>
      <c r="AF223" s="179"/>
    </row>
    <row r="224" spans="1:32" x14ac:dyDescent="0.3">
      <c r="A224" s="177"/>
      <c r="B224" s="192" t="s">
        <v>208</v>
      </c>
      <c r="C224" s="271">
        <v>16.920000000000002</v>
      </c>
      <c r="D224" s="271">
        <v>16.5</v>
      </c>
      <c r="E224" s="271">
        <v>16.670000000000002</v>
      </c>
      <c r="F224" s="272">
        <f>SUM(C224:E224)</f>
        <v>50.09</v>
      </c>
      <c r="O224" s="268"/>
      <c r="P224" s="268"/>
      <c r="Q224" s="268"/>
      <c r="R224" s="268"/>
      <c r="AF224" s="179"/>
    </row>
    <row r="225" spans="1:32" x14ac:dyDescent="0.3">
      <c r="A225" s="177"/>
      <c r="B225" s="192" t="s">
        <v>209</v>
      </c>
      <c r="C225" s="271">
        <v>22.1</v>
      </c>
      <c r="D225" s="271">
        <v>25.78</v>
      </c>
      <c r="E225" s="271">
        <v>11.31</v>
      </c>
      <c r="F225" s="272">
        <f>SUM(C225:E225)</f>
        <v>59.190000000000005</v>
      </c>
      <c r="O225" s="268"/>
      <c r="P225" s="268"/>
      <c r="Q225" s="268"/>
      <c r="R225" s="268"/>
      <c r="AF225" s="179"/>
    </row>
    <row r="226" spans="1:32" x14ac:dyDescent="0.3">
      <c r="A226" s="177"/>
      <c r="B226" s="191" t="s">
        <v>11</v>
      </c>
      <c r="C226" s="269">
        <f>SUM(C227:C228)</f>
        <v>43.559821866114817</v>
      </c>
      <c r="D226" s="269">
        <f>SUM(D227:D228)</f>
        <v>55.203458234477822</v>
      </c>
      <c r="E226" s="269">
        <f>SUM(E227:E228)</f>
        <v>42.484675941547636</v>
      </c>
      <c r="F226" s="270">
        <f>SUM(F227:F228)</f>
        <v>141.24795604214029</v>
      </c>
      <c r="AF226" s="179"/>
    </row>
    <row r="227" spans="1:32" x14ac:dyDescent="0.3">
      <c r="A227" s="177"/>
      <c r="B227" s="192" t="s">
        <v>208</v>
      </c>
      <c r="C227" s="271">
        <v>16.188086697395768</v>
      </c>
      <c r="D227" s="271">
        <v>17.077703028749919</v>
      </c>
      <c r="E227" s="271">
        <v>16.328370088941934</v>
      </c>
      <c r="F227" s="272">
        <f>SUM(C227:E227)</f>
        <v>49.594159815087622</v>
      </c>
      <c r="O227" s="268"/>
      <c r="P227" s="268"/>
      <c r="Q227" s="268"/>
      <c r="R227" s="268"/>
      <c r="AF227" s="179"/>
    </row>
    <row r="228" spans="1:32" x14ac:dyDescent="0.3">
      <c r="A228" s="177"/>
      <c r="B228" s="192" t="s">
        <v>209</v>
      </c>
      <c r="C228" s="271">
        <v>27.371735168719052</v>
      </c>
      <c r="D228" s="271">
        <v>38.125755205727899</v>
      </c>
      <c r="E228" s="271">
        <v>26.156305852605701</v>
      </c>
      <c r="F228" s="272">
        <f>SUM(C228:E228)</f>
        <v>91.653796227052652</v>
      </c>
      <c r="O228" s="268"/>
      <c r="P228" s="268"/>
      <c r="Q228" s="268"/>
      <c r="R228" s="268"/>
      <c r="AF228" s="179"/>
    </row>
    <row r="229" spans="1:32" x14ac:dyDescent="0.3">
      <c r="A229" s="177"/>
      <c r="B229" s="191" t="s">
        <v>12</v>
      </c>
      <c r="C229" s="269">
        <f>SUM(C230:C231)</f>
        <v>51.338900056477314</v>
      </c>
      <c r="D229" s="269">
        <f>SUM(D230:D231)</f>
        <v>57.401534726248386</v>
      </c>
      <c r="E229" s="269">
        <f>SUM(E230:E231)</f>
        <v>49.699582952538073</v>
      </c>
      <c r="F229" s="270">
        <f>SUM(F230:F231)</f>
        <v>158.44001773526378</v>
      </c>
      <c r="AF229" s="179"/>
    </row>
    <row r="230" spans="1:32" x14ac:dyDescent="0.3">
      <c r="A230" s="177"/>
      <c r="B230" s="192" t="s">
        <v>208</v>
      </c>
      <c r="C230" s="271">
        <v>16.26975065971541</v>
      </c>
      <c r="D230" s="271">
        <v>16.870580209706493</v>
      </c>
      <c r="E230" s="271">
        <v>17.968089978164972</v>
      </c>
      <c r="F230" s="272">
        <f>SUM(C230:E230)</f>
        <v>51.108420847586871</v>
      </c>
      <c r="O230" s="268"/>
      <c r="P230" s="268"/>
      <c r="Q230" s="268"/>
      <c r="R230" s="268"/>
      <c r="AF230" s="179"/>
    </row>
    <row r="231" spans="1:32" x14ac:dyDescent="0.3">
      <c r="A231" s="177"/>
      <c r="B231" s="192" t="s">
        <v>209</v>
      </c>
      <c r="C231" s="271">
        <v>35.069149396761901</v>
      </c>
      <c r="D231" s="271">
        <v>40.530954516541897</v>
      </c>
      <c r="E231" s="271">
        <v>31.731492974373101</v>
      </c>
      <c r="F231" s="272">
        <f>SUM(C231:E231)</f>
        <v>107.33159688767689</v>
      </c>
      <c r="O231" s="268"/>
      <c r="P231" s="268"/>
      <c r="Q231" s="268"/>
      <c r="R231" s="268"/>
      <c r="AF231" s="179"/>
    </row>
    <row r="232" spans="1:32" ht="14.25" customHeight="1" x14ac:dyDescent="0.3">
      <c r="A232" s="177"/>
      <c r="B232" s="191" t="s">
        <v>13</v>
      </c>
      <c r="C232" s="269">
        <f>SUM(C233:C234)</f>
        <v>63.402066212924595</v>
      </c>
      <c r="D232" s="269">
        <f>SUM(D233:D234)</f>
        <v>73.72679921180297</v>
      </c>
      <c r="E232" s="269">
        <f>SUM(E233:E234)</f>
        <v>53.9718401034553</v>
      </c>
      <c r="F232" s="270">
        <f>SUM(F233:F234)</f>
        <v>191.10070552818286</v>
      </c>
      <c r="AF232" s="179"/>
    </row>
    <row r="233" spans="1:32" ht="14.25" customHeight="1" x14ac:dyDescent="0.3">
      <c r="A233" s="177"/>
      <c r="B233" s="192" t="s">
        <v>208</v>
      </c>
      <c r="C233" s="271">
        <v>26.996788459757237</v>
      </c>
      <c r="D233" s="271">
        <v>20.536288250273763</v>
      </c>
      <c r="E233" s="271">
        <v>22.182048167768226</v>
      </c>
      <c r="F233" s="272">
        <f>SUM(C233:E233)</f>
        <v>69.715124877799227</v>
      </c>
      <c r="O233" s="268"/>
      <c r="P233" s="268"/>
      <c r="Q233" s="268"/>
      <c r="R233" s="268"/>
      <c r="AF233" s="179"/>
    </row>
    <row r="234" spans="1:32" ht="14.25" customHeight="1" x14ac:dyDescent="0.3">
      <c r="A234" s="177"/>
      <c r="B234" s="192" t="s">
        <v>209</v>
      </c>
      <c r="C234" s="271">
        <v>36.405277753167361</v>
      </c>
      <c r="D234" s="271">
        <v>53.190510961529206</v>
      </c>
      <c r="E234" s="271">
        <v>31.789791935687074</v>
      </c>
      <c r="F234" s="272">
        <f>SUM(C234:E234)</f>
        <v>121.38558065038364</v>
      </c>
      <c r="O234" s="268"/>
      <c r="P234" s="268"/>
      <c r="Q234" s="268"/>
      <c r="R234" s="268"/>
      <c r="AF234" s="179"/>
    </row>
    <row r="235" spans="1:32" ht="14.25" customHeight="1" x14ac:dyDescent="0.3">
      <c r="A235" s="177"/>
      <c r="B235" s="191" t="s">
        <v>14</v>
      </c>
      <c r="C235" s="269">
        <f>SUM(C236:C237)</f>
        <v>67.388656064812565</v>
      </c>
      <c r="D235" s="269">
        <f>SUM(D236:D237)</f>
        <v>70.638105860418761</v>
      </c>
      <c r="E235" s="269">
        <f>SUM(E236:E237)</f>
        <v>74.117852589556094</v>
      </c>
      <c r="F235" s="270">
        <f>SUM(F236:F237)</f>
        <v>212.14461451478741</v>
      </c>
      <c r="AF235" s="179"/>
    </row>
    <row r="236" spans="1:32" ht="14.25" customHeight="1" x14ac:dyDescent="0.3">
      <c r="A236" s="177"/>
      <c r="B236" s="192" t="s">
        <v>208</v>
      </c>
      <c r="C236" s="271">
        <v>22.294868582995843</v>
      </c>
      <c r="D236" s="271">
        <v>34.306596596423965</v>
      </c>
      <c r="E236" s="271">
        <v>38.862376004818799</v>
      </c>
      <c r="F236" s="272">
        <f>SUM(C236:E236)</f>
        <v>95.463841184238603</v>
      </c>
      <c r="O236" s="268"/>
      <c r="P236" s="268"/>
      <c r="Q236" s="268"/>
      <c r="R236" s="268"/>
      <c r="AF236" s="179"/>
    </row>
    <row r="237" spans="1:32" ht="14.25" customHeight="1" x14ac:dyDescent="0.3">
      <c r="A237" s="177"/>
      <c r="B237" s="192" t="s">
        <v>209</v>
      </c>
      <c r="C237" s="271">
        <v>45.093787481816719</v>
      </c>
      <c r="D237" s="271">
        <v>36.331509263994803</v>
      </c>
      <c r="E237" s="271">
        <v>35.255476584737302</v>
      </c>
      <c r="F237" s="272">
        <f>SUM(C237:E237)</f>
        <v>116.68077333054882</v>
      </c>
      <c r="O237" s="268"/>
      <c r="P237" s="268"/>
      <c r="Q237" s="268"/>
      <c r="R237" s="268"/>
      <c r="AF237" s="179"/>
    </row>
    <row r="238" spans="1:32" ht="14.25" customHeight="1" x14ac:dyDescent="0.3">
      <c r="A238" s="177"/>
      <c r="B238" s="191" t="s">
        <v>15</v>
      </c>
      <c r="C238" s="269">
        <f>SUM(C239:C240)</f>
        <v>69.116634426658919</v>
      </c>
      <c r="D238" s="269">
        <f>SUM(D239:D240)</f>
        <v>68.907809692947467</v>
      </c>
      <c r="E238" s="269">
        <f>SUM(E239:E240)</f>
        <v>54.618654073123437</v>
      </c>
      <c r="F238" s="270">
        <f>SUM(F239:F240)</f>
        <v>192.64309819272981</v>
      </c>
      <c r="O238" s="268"/>
      <c r="P238" s="268"/>
      <c r="Q238" s="268"/>
      <c r="R238" s="268"/>
      <c r="AF238" s="179"/>
    </row>
    <row r="239" spans="1:32" ht="14.25" customHeight="1" x14ac:dyDescent="0.3">
      <c r="A239" s="177"/>
      <c r="B239" s="192" t="s">
        <v>208</v>
      </c>
      <c r="C239" s="271">
        <v>33.535505028694914</v>
      </c>
      <c r="D239" s="271">
        <v>32.569283101748567</v>
      </c>
      <c r="E239" s="271">
        <v>32.316944326004439</v>
      </c>
      <c r="F239" s="272">
        <f>SUM(C239:E239)</f>
        <v>98.421732456447927</v>
      </c>
      <c r="O239" s="268"/>
      <c r="P239" s="268"/>
      <c r="Q239" s="268"/>
      <c r="R239" s="268"/>
      <c r="AF239" s="179"/>
    </row>
    <row r="240" spans="1:32" ht="14.25" customHeight="1" x14ac:dyDescent="0.3">
      <c r="A240" s="177"/>
      <c r="B240" s="192" t="s">
        <v>209</v>
      </c>
      <c r="C240" s="271">
        <v>35.581129397963998</v>
      </c>
      <c r="D240" s="271">
        <v>36.338526591198899</v>
      </c>
      <c r="E240" s="271">
        <v>22.301709747118998</v>
      </c>
      <c r="F240" s="272">
        <f>SUM(C240:E240)</f>
        <v>94.221365736281882</v>
      </c>
      <c r="O240" s="268"/>
      <c r="P240" s="268"/>
      <c r="Q240" s="268"/>
      <c r="R240" s="268"/>
      <c r="AF240" s="179"/>
    </row>
    <row r="241" spans="1:43" ht="14.25" hidden="1" customHeight="1" outlineLevel="1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2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1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1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530.15607862698823</v>
      </c>
      <c r="D244" s="273">
        <f>+D208+D211+D214+D217+D220+D223+D226+D229+D232+D235+D238+D241</f>
        <v>591.42796861086231</v>
      </c>
      <c r="E244" s="273">
        <f>+E208+E211+E214+E217+E220+E223+E226+E229+E232+E235+E238+E241</f>
        <v>492.94528323090913</v>
      </c>
      <c r="F244" s="270">
        <f>+F208+F211+F214+F217+F220+F223+F226+F229+F232+F235+F238+F241</f>
        <v>1614.5293304687596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07" t="s">
        <v>332</v>
      </c>
      <c r="C246" s="507"/>
      <c r="D246" s="507"/>
      <c r="E246" s="507"/>
      <c r="F246" s="507"/>
      <c r="G246" s="507"/>
      <c r="H246" s="507"/>
      <c r="I246" s="507"/>
      <c r="J246" s="507"/>
      <c r="K246" s="507"/>
      <c r="L246" s="507"/>
      <c r="M246" s="507"/>
      <c r="N246" s="507"/>
      <c r="O246" s="507"/>
      <c r="P246" s="507"/>
      <c r="Q246" s="507"/>
      <c r="Z246" s="268"/>
      <c r="AA246" s="268"/>
      <c r="AB246" s="268"/>
      <c r="AC246" s="268"/>
      <c r="AQ246" s="179"/>
    </row>
    <row r="247" spans="1:43" x14ac:dyDescent="0.3">
      <c r="A247" s="177"/>
      <c r="B247" s="432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203:Q204"/>
    <mergeCell ref="B205:Q205"/>
    <mergeCell ref="B246:Q246"/>
    <mergeCell ref="B159:D159"/>
    <mergeCell ref="B11:D11"/>
    <mergeCell ref="B12:D12"/>
    <mergeCell ref="B13:D13"/>
    <mergeCell ref="B14:D14"/>
    <mergeCell ref="B47:D47"/>
    <mergeCell ref="B48:D48"/>
    <mergeCell ref="B49:D49"/>
    <mergeCell ref="B50:D50"/>
    <mergeCell ref="B83:D83"/>
    <mergeCell ref="B121:D121"/>
    <mergeCell ref="B122:D122"/>
    <mergeCell ref="B155:D155"/>
    <mergeCell ref="B156:D156"/>
    <mergeCell ref="B157:D157"/>
    <mergeCell ref="B84:D84"/>
    <mergeCell ref="B85:D85"/>
    <mergeCell ref="B86:D86"/>
    <mergeCell ref="B119:D119"/>
    <mergeCell ref="B120:D120"/>
  </mergeCells>
  <conditionalFormatting sqref="C72:C78 C143:C150">
    <cfRule type="containsBlanks" dxfId="8" priority="13">
      <formula>LEN(TRIM(C72))=0</formula>
    </cfRule>
  </conditionalFormatting>
  <conditionalFormatting sqref="C60:C70">
    <cfRule type="containsBlanks" dxfId="7" priority="46">
      <formula>LEN(TRIM(C60))=0</formula>
    </cfRule>
  </conditionalFormatting>
  <conditionalFormatting sqref="C60:C70">
    <cfRule type="containsBlanks" dxfId="6" priority="45">
      <formula>LEN(TRIM(C60))=0</formula>
    </cfRule>
  </conditionalFormatting>
  <conditionalFormatting sqref="C79:D79">
    <cfRule type="containsBlanks" dxfId="5" priority="44">
      <formula>LEN(TRIM(C79))=0</formula>
    </cfRule>
  </conditionalFormatting>
  <conditionalFormatting sqref="C79:D79">
    <cfRule type="containsBlanks" dxfId="4" priority="43">
      <formula>LEN(TRIM(C79))=0</formula>
    </cfRule>
  </conditionalFormatting>
  <conditionalFormatting sqref="C81">
    <cfRule type="containsBlanks" dxfId="3" priority="42">
      <formula>LEN(TRIM(C81))=0</formula>
    </cfRule>
  </conditionalFormatting>
  <conditionalFormatting sqref="C81">
    <cfRule type="containsBlanks" dxfId="2" priority="41">
      <formula>LEN(TRIM(C81))=0</formula>
    </cfRule>
  </conditionalFormatting>
  <conditionalFormatting sqref="C132:C141">
    <cfRule type="containsBlanks" dxfId="1" priority="28">
      <formula>LEN(TRIM(C132))=0</formula>
    </cfRule>
  </conditionalFormatting>
  <conditionalFormatting sqref="C132:C141">
    <cfRule type="containsBlanks" dxfId="0" priority="27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80:C81" unlockedFormula="1"/>
    <ignoredError sqref="C188 C151 C115" formulaRange="1"/>
    <ignoredError sqref="C79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2AC0-83EB-42B5-9F6A-F29BFCDE834A}">
  <dimension ref="A1:AO48"/>
  <sheetViews>
    <sheetView showGridLines="0" topLeftCell="A4" zoomScale="120" zoomScaleNormal="120" workbookViewId="0">
      <pane xSplit="3" topLeftCell="AG1" activePane="topRight" state="frozen"/>
      <selection activeCell="BN4" sqref="BN4"/>
      <selection pane="topRight" activeCell="AL16" sqref="AL16"/>
    </sheetView>
  </sheetViews>
  <sheetFormatPr baseColWidth="10" defaultColWidth="11.44140625" defaultRowHeight="13.8" x14ac:dyDescent="0.3"/>
  <cols>
    <col min="1" max="1" width="4.44140625" style="449" customWidth="1"/>
    <col min="2" max="2" width="8.6640625" style="449" bestFit="1" customWidth="1"/>
    <col min="3" max="3" width="52.6640625" style="449" bestFit="1" customWidth="1"/>
    <col min="4" max="16384" width="11.44140625" style="452"/>
  </cols>
  <sheetData>
    <row r="1" spans="2:41" s="447" customFormat="1" x14ac:dyDescent="0.3">
      <c r="B1" s="446"/>
    </row>
    <row r="2" spans="2:41" s="447" customFormat="1" x14ac:dyDescent="0.3">
      <c r="B2" s="446"/>
    </row>
    <row r="3" spans="2:41" s="447" customFormat="1" x14ac:dyDescent="0.3">
      <c r="B3" s="446"/>
    </row>
    <row r="4" spans="2:41" s="447" customFormat="1" x14ac:dyDescent="0.3">
      <c r="B4" s="474" t="s">
        <v>325</v>
      </c>
    </row>
    <row r="5" spans="2:41" s="447" customFormat="1" x14ac:dyDescent="0.3">
      <c r="B5" s="474" t="s">
        <v>326</v>
      </c>
    </row>
    <row r="6" spans="2:41" s="449" customFormat="1" x14ac:dyDescent="0.3">
      <c r="B6" s="448" t="s">
        <v>213</v>
      </c>
      <c r="C6" s="448"/>
    </row>
    <row r="7" spans="2:41" s="449" customFormat="1" x14ac:dyDescent="0.3">
      <c r="B7" s="450" t="s">
        <v>214</v>
      </c>
      <c r="C7" s="450"/>
    </row>
    <row r="8" spans="2:41" s="449" customFormat="1" x14ac:dyDescent="0.3">
      <c r="B8" s="451"/>
      <c r="C8" s="451"/>
    </row>
    <row r="9" spans="2:41" ht="12.75" customHeight="1" x14ac:dyDescent="0.3">
      <c r="B9" s="521" t="s">
        <v>215</v>
      </c>
      <c r="C9" s="524" t="s">
        <v>216</v>
      </c>
      <c r="D9" s="509" t="s">
        <v>308</v>
      </c>
      <c r="E9" s="510"/>
      <c r="F9" s="510"/>
      <c r="G9" s="511"/>
      <c r="H9" s="509" t="s">
        <v>309</v>
      </c>
      <c r="I9" s="510"/>
      <c r="J9" s="510"/>
      <c r="K9" s="511"/>
      <c r="L9" s="509" t="s">
        <v>310</v>
      </c>
      <c r="M9" s="510"/>
      <c r="N9" s="510"/>
      <c r="O9" s="511"/>
      <c r="P9" s="509" t="s">
        <v>311</v>
      </c>
      <c r="Q9" s="510"/>
      <c r="R9" s="510"/>
      <c r="S9" s="511"/>
      <c r="T9" s="509" t="s">
        <v>312</v>
      </c>
      <c r="U9" s="510"/>
      <c r="V9" s="510"/>
      <c r="W9" s="511"/>
      <c r="X9" s="509" t="s">
        <v>313</v>
      </c>
      <c r="Y9" s="510"/>
      <c r="Z9" s="510"/>
      <c r="AA9" s="511"/>
      <c r="AB9" s="509" t="s">
        <v>327</v>
      </c>
      <c r="AC9" s="510"/>
      <c r="AD9" s="510"/>
      <c r="AE9" s="511"/>
      <c r="AF9" s="509">
        <v>44470</v>
      </c>
      <c r="AG9" s="510"/>
      <c r="AH9" s="510"/>
      <c r="AI9" s="511"/>
      <c r="AJ9" s="512" t="s">
        <v>328</v>
      </c>
      <c r="AK9" s="513"/>
      <c r="AL9" s="513"/>
      <c r="AM9" s="513"/>
      <c r="AN9" s="513"/>
      <c r="AO9" s="513"/>
    </row>
    <row r="10" spans="2:41" ht="12.75" customHeight="1" x14ac:dyDescent="0.3">
      <c r="B10" s="522"/>
      <c r="C10" s="525"/>
      <c r="D10" s="516" t="s">
        <v>314</v>
      </c>
      <c r="E10" s="517"/>
      <c r="F10" s="518"/>
      <c r="G10" s="519" t="s">
        <v>218</v>
      </c>
      <c r="H10" s="516" t="s">
        <v>314</v>
      </c>
      <c r="I10" s="517"/>
      <c r="J10" s="518"/>
      <c r="K10" s="519" t="s">
        <v>218</v>
      </c>
      <c r="L10" s="516" t="s">
        <v>314</v>
      </c>
      <c r="M10" s="517"/>
      <c r="N10" s="518"/>
      <c r="O10" s="519" t="s">
        <v>218</v>
      </c>
      <c r="P10" s="516" t="s">
        <v>314</v>
      </c>
      <c r="Q10" s="517"/>
      <c r="R10" s="518"/>
      <c r="S10" s="519" t="s">
        <v>218</v>
      </c>
      <c r="T10" s="516" t="s">
        <v>314</v>
      </c>
      <c r="U10" s="517"/>
      <c r="V10" s="518"/>
      <c r="W10" s="519" t="s">
        <v>218</v>
      </c>
      <c r="X10" s="516" t="s">
        <v>314</v>
      </c>
      <c r="Y10" s="517"/>
      <c r="Z10" s="518"/>
      <c r="AA10" s="519" t="s">
        <v>218</v>
      </c>
      <c r="AB10" s="516" t="s">
        <v>314</v>
      </c>
      <c r="AC10" s="517"/>
      <c r="AD10" s="518"/>
      <c r="AE10" s="519" t="s">
        <v>218</v>
      </c>
      <c r="AF10" s="516" t="s">
        <v>314</v>
      </c>
      <c r="AG10" s="517"/>
      <c r="AH10" s="518"/>
      <c r="AI10" s="519" t="s">
        <v>218</v>
      </c>
      <c r="AJ10" s="516" t="s">
        <v>314</v>
      </c>
      <c r="AK10" s="517"/>
      <c r="AL10" s="518"/>
      <c r="AM10" s="527" t="s">
        <v>218</v>
      </c>
      <c r="AN10" s="528"/>
      <c r="AO10" s="528"/>
    </row>
    <row r="11" spans="2:41" ht="12.75" customHeight="1" x14ac:dyDescent="0.3">
      <c r="B11" s="523"/>
      <c r="C11" s="526"/>
      <c r="D11" s="467" t="s">
        <v>18</v>
      </c>
      <c r="E11" s="453" t="s">
        <v>19</v>
      </c>
      <c r="F11" s="453" t="s">
        <v>20</v>
      </c>
      <c r="G11" s="520"/>
      <c r="H11" s="467" t="s">
        <v>18</v>
      </c>
      <c r="I11" s="453" t="s">
        <v>19</v>
      </c>
      <c r="J11" s="453" t="s">
        <v>20</v>
      </c>
      <c r="K11" s="520"/>
      <c r="L11" s="467" t="s">
        <v>18</v>
      </c>
      <c r="M11" s="453" t="s">
        <v>19</v>
      </c>
      <c r="N11" s="453" t="s">
        <v>20</v>
      </c>
      <c r="O11" s="520"/>
      <c r="P11" s="467" t="s">
        <v>18</v>
      </c>
      <c r="Q11" s="453" t="s">
        <v>19</v>
      </c>
      <c r="R11" s="453" t="s">
        <v>20</v>
      </c>
      <c r="S11" s="520"/>
      <c r="T11" s="467" t="s">
        <v>18</v>
      </c>
      <c r="U11" s="453" t="s">
        <v>19</v>
      </c>
      <c r="V11" s="453" t="s">
        <v>20</v>
      </c>
      <c r="W11" s="520"/>
      <c r="X11" s="467" t="s">
        <v>18</v>
      </c>
      <c r="Y11" s="453" t="s">
        <v>19</v>
      </c>
      <c r="Z11" s="453" t="s">
        <v>20</v>
      </c>
      <c r="AA11" s="520"/>
      <c r="AB11" s="467" t="s">
        <v>18</v>
      </c>
      <c r="AC11" s="453" t="s">
        <v>19</v>
      </c>
      <c r="AD11" s="453" t="s">
        <v>20</v>
      </c>
      <c r="AE11" s="520"/>
      <c r="AF11" s="467" t="s">
        <v>18</v>
      </c>
      <c r="AG11" s="453" t="s">
        <v>19</v>
      </c>
      <c r="AH11" s="453" t="s">
        <v>20</v>
      </c>
      <c r="AI11" s="520"/>
      <c r="AJ11" s="467" t="s">
        <v>18</v>
      </c>
      <c r="AK11" s="453" t="s">
        <v>19</v>
      </c>
      <c r="AL11" s="453" t="s">
        <v>20</v>
      </c>
      <c r="AM11" s="467" t="s">
        <v>18</v>
      </c>
      <c r="AN11" s="453" t="s">
        <v>19</v>
      </c>
      <c r="AO11" s="453" t="s">
        <v>20</v>
      </c>
    </row>
    <row r="12" spans="2:41" x14ac:dyDescent="0.3">
      <c r="B12" s="529" t="s">
        <v>219</v>
      </c>
      <c r="C12" s="475" t="s">
        <v>220</v>
      </c>
      <c r="D12" s="454"/>
      <c r="E12" s="454"/>
      <c r="F12" s="468"/>
      <c r="G12" s="468"/>
      <c r="H12" s="454"/>
      <c r="I12" s="454"/>
      <c r="J12" s="468"/>
      <c r="K12" s="468"/>
      <c r="L12" s="454"/>
      <c r="M12" s="454"/>
      <c r="N12" s="468"/>
      <c r="O12" s="468"/>
      <c r="P12" s="454"/>
      <c r="Q12" s="454"/>
      <c r="R12" s="468"/>
      <c r="S12" s="468"/>
      <c r="T12" s="454"/>
      <c r="U12" s="454"/>
      <c r="V12" s="468"/>
      <c r="W12" s="468"/>
      <c r="X12" s="454"/>
      <c r="Y12" s="454"/>
      <c r="Z12" s="468"/>
      <c r="AA12" s="468"/>
      <c r="AB12" s="454"/>
      <c r="AC12" s="454"/>
      <c r="AD12" s="468"/>
      <c r="AE12" s="468"/>
      <c r="AF12" s="454"/>
      <c r="AG12" s="454"/>
      <c r="AH12" s="468"/>
      <c r="AI12" s="468"/>
      <c r="AJ12" s="454"/>
      <c r="AK12" s="454"/>
      <c r="AL12" s="468"/>
      <c r="AM12" s="454"/>
      <c r="AN12" s="454"/>
      <c r="AO12" s="468"/>
    </row>
    <row r="13" spans="2:41" x14ac:dyDescent="0.3">
      <c r="B13" s="530"/>
      <c r="C13" s="476" t="s">
        <v>221</v>
      </c>
      <c r="D13" s="454">
        <v>45.68</v>
      </c>
      <c r="E13" s="454">
        <v>36.64</v>
      </c>
      <c r="F13" s="454">
        <v>41.75</v>
      </c>
      <c r="G13" s="454">
        <v>37.950000000000003</v>
      </c>
      <c r="H13" s="454">
        <v>45.92</v>
      </c>
      <c r="I13" s="454">
        <v>36.83</v>
      </c>
      <c r="J13" s="454">
        <v>41.97</v>
      </c>
      <c r="K13" s="454">
        <v>37.950000000000003</v>
      </c>
      <c r="L13" s="454">
        <v>45.5</v>
      </c>
      <c r="M13" s="454">
        <v>36.47</v>
      </c>
      <c r="N13" s="454">
        <v>41.57</v>
      </c>
      <c r="O13" s="454">
        <v>37.950000000000003</v>
      </c>
      <c r="P13" s="454">
        <v>38.18</v>
      </c>
      <c r="Q13" s="454">
        <v>47.66</v>
      </c>
      <c r="R13" s="454">
        <v>43.53</v>
      </c>
      <c r="S13" s="454">
        <v>37.950000000000003</v>
      </c>
      <c r="T13" s="454">
        <v>29.7</v>
      </c>
      <c r="U13" s="454">
        <v>37.270000000000003</v>
      </c>
      <c r="V13" s="454">
        <v>33.950000000000003</v>
      </c>
      <c r="W13" s="454">
        <v>37.950000000000003</v>
      </c>
      <c r="X13" s="454">
        <v>30.26</v>
      </c>
      <c r="Y13" s="454">
        <v>37.96</v>
      </c>
      <c r="Z13" s="454">
        <v>34.58</v>
      </c>
      <c r="AA13" s="454">
        <v>37.950000000000003</v>
      </c>
      <c r="AB13" s="454">
        <v>40.18</v>
      </c>
      <c r="AC13" s="454">
        <v>50.12</v>
      </c>
      <c r="AD13" s="454">
        <v>45.8</v>
      </c>
      <c r="AE13" s="454">
        <v>37.950000000000003</v>
      </c>
      <c r="AF13" s="454">
        <v>40.97</v>
      </c>
      <c r="AG13" s="454">
        <v>51.1</v>
      </c>
      <c r="AH13" s="454">
        <v>46.7</v>
      </c>
      <c r="AI13" s="454">
        <v>37.950000000000003</v>
      </c>
      <c r="AJ13" s="454">
        <v>40.97</v>
      </c>
      <c r="AK13" s="454">
        <v>51.1</v>
      </c>
      <c r="AL13" s="454">
        <v>46.7</v>
      </c>
      <c r="AM13" s="454">
        <v>38.049999999999997</v>
      </c>
      <c r="AN13" s="454">
        <v>38.369999999999997</v>
      </c>
      <c r="AO13" s="454">
        <v>38.229999999999997</v>
      </c>
    </row>
    <row r="14" spans="2:41" x14ac:dyDescent="0.3">
      <c r="B14" s="530"/>
      <c r="C14" s="476" t="s">
        <v>222</v>
      </c>
      <c r="D14" s="454">
        <v>45.68</v>
      </c>
      <c r="E14" s="454">
        <v>36.64</v>
      </c>
      <c r="F14" s="454">
        <v>41.75</v>
      </c>
      <c r="G14" s="454">
        <v>137.25</v>
      </c>
      <c r="H14" s="454">
        <f>+H13</f>
        <v>45.92</v>
      </c>
      <c r="I14" s="454">
        <v>36.83</v>
      </c>
      <c r="J14" s="454">
        <v>41.97</v>
      </c>
      <c r="K14" s="454">
        <v>137.25</v>
      </c>
      <c r="L14" s="454">
        <v>45.5</v>
      </c>
      <c r="M14" s="454">
        <v>36.47</v>
      </c>
      <c r="N14" s="454">
        <f>+N13</f>
        <v>41.57</v>
      </c>
      <c r="O14" s="454">
        <v>137.25</v>
      </c>
      <c r="P14" s="454">
        <f>+P13</f>
        <v>38.18</v>
      </c>
      <c r="Q14" s="454">
        <f>+Q13</f>
        <v>47.66</v>
      </c>
      <c r="R14" s="454">
        <v>43.53</v>
      </c>
      <c r="S14" s="454">
        <v>137.25</v>
      </c>
      <c r="T14" s="454">
        <v>29.7</v>
      </c>
      <c r="U14" s="454">
        <v>37.270000000000003</v>
      </c>
      <c r="V14" s="454">
        <v>33.950000000000003</v>
      </c>
      <c r="W14" s="454">
        <v>137.25</v>
      </c>
      <c r="X14" s="454">
        <f>+X13</f>
        <v>30.26</v>
      </c>
      <c r="Y14" s="454">
        <f>+Y13</f>
        <v>37.96</v>
      </c>
      <c r="Z14" s="454">
        <f>+Z13</f>
        <v>34.58</v>
      </c>
      <c r="AA14" s="454">
        <v>137.25</v>
      </c>
      <c r="AB14" s="454">
        <v>40.18</v>
      </c>
      <c r="AC14" s="454">
        <f>+AC13</f>
        <v>50.12</v>
      </c>
      <c r="AD14" s="454">
        <f>+AD13</f>
        <v>45.8</v>
      </c>
      <c r="AE14" s="454">
        <v>137.25</v>
      </c>
      <c r="AF14" s="454">
        <v>40.97</v>
      </c>
      <c r="AG14" s="454">
        <f>+AG13</f>
        <v>51.1</v>
      </c>
      <c r="AH14" s="454">
        <v>46.7</v>
      </c>
      <c r="AI14" s="454">
        <v>137.25</v>
      </c>
      <c r="AJ14" s="454">
        <v>40.97</v>
      </c>
      <c r="AK14" s="454">
        <v>51.1</v>
      </c>
      <c r="AL14" s="454">
        <v>46.7</v>
      </c>
      <c r="AM14" s="454">
        <v>128.08000000000001</v>
      </c>
      <c r="AN14" s="454">
        <v>134.47</v>
      </c>
      <c r="AO14" s="454">
        <v>134.33000000000001</v>
      </c>
    </row>
    <row r="15" spans="2:41" x14ac:dyDescent="0.3">
      <c r="B15" s="530"/>
      <c r="C15" s="476" t="s">
        <v>223</v>
      </c>
      <c r="D15" s="454">
        <v>10.46</v>
      </c>
      <c r="E15" s="454">
        <v>11.39</v>
      </c>
      <c r="F15" s="454">
        <v>11.04</v>
      </c>
      <c r="G15" s="454"/>
      <c r="H15" s="454"/>
      <c r="I15" s="454"/>
      <c r="J15" s="454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</row>
    <row r="16" spans="2:41" x14ac:dyDescent="0.3">
      <c r="B16" s="530"/>
      <c r="C16" s="476" t="s">
        <v>224</v>
      </c>
      <c r="D16" s="454">
        <f>+D15</f>
        <v>10.46</v>
      </c>
      <c r="E16" s="454">
        <f>E15</f>
        <v>11.39</v>
      </c>
      <c r="F16" s="454">
        <v>11.04</v>
      </c>
      <c r="G16" s="454">
        <v>4.4400000000000004</v>
      </c>
      <c r="H16" s="454">
        <v>10.07</v>
      </c>
      <c r="I16" s="454">
        <v>10.96</v>
      </c>
      <c r="J16" s="454">
        <v>9.9</v>
      </c>
      <c r="K16" s="454">
        <v>4.4400000000000004</v>
      </c>
      <c r="L16" s="454">
        <v>9.92</v>
      </c>
      <c r="M16" s="454">
        <v>10.77</v>
      </c>
      <c r="N16" s="454">
        <v>9.68</v>
      </c>
      <c r="O16" s="454">
        <v>4.4400000000000004</v>
      </c>
      <c r="P16" s="454">
        <v>11.49</v>
      </c>
      <c r="Q16" s="454">
        <v>10.41</v>
      </c>
      <c r="R16" s="454">
        <v>9.9600000000000009</v>
      </c>
      <c r="S16" s="454">
        <v>4.4400000000000004</v>
      </c>
      <c r="T16" s="454">
        <v>11.28</v>
      </c>
      <c r="U16" s="454">
        <v>10.63</v>
      </c>
      <c r="V16" s="454">
        <v>10.42</v>
      </c>
      <c r="W16" s="454">
        <v>4.4400000000000004</v>
      </c>
      <c r="X16" s="454">
        <v>12.02</v>
      </c>
      <c r="Y16" s="454">
        <f>+Y17</f>
        <v>11.14</v>
      </c>
      <c r="Z16" s="454">
        <v>10.77</v>
      </c>
      <c r="AA16" s="454">
        <v>4.4400000000000004</v>
      </c>
      <c r="AB16" s="454">
        <v>12.9</v>
      </c>
      <c r="AC16" s="454">
        <v>11.79</v>
      </c>
      <c r="AD16" s="454">
        <v>12.19</v>
      </c>
      <c r="AE16" s="454">
        <v>4.4400000000000004</v>
      </c>
      <c r="AF16" s="454">
        <v>12.72</v>
      </c>
      <c r="AG16" s="454">
        <v>11.95</v>
      </c>
      <c r="AH16" s="454">
        <v>11.91</v>
      </c>
      <c r="AI16" s="454">
        <v>4.4400000000000004</v>
      </c>
      <c r="AJ16" s="454">
        <v>12.72</v>
      </c>
      <c r="AK16" s="454">
        <v>11.95</v>
      </c>
      <c r="AL16" s="454">
        <v>11.91</v>
      </c>
      <c r="AM16" s="454">
        <v>4.71</v>
      </c>
      <c r="AN16" s="454">
        <v>4.68</v>
      </c>
      <c r="AO16" s="454">
        <v>4.68</v>
      </c>
    </row>
    <row r="17" spans="2:41" x14ac:dyDescent="0.3">
      <c r="B17" s="530"/>
      <c r="C17" s="476" t="s">
        <v>225</v>
      </c>
      <c r="D17" s="454">
        <f>+D16</f>
        <v>10.46</v>
      </c>
      <c r="E17" s="454">
        <f>E16</f>
        <v>11.39</v>
      </c>
      <c r="F17" s="454">
        <v>11.04</v>
      </c>
      <c r="G17" s="454">
        <v>6.97</v>
      </c>
      <c r="H17" s="454">
        <v>10.07</v>
      </c>
      <c r="I17" s="454">
        <v>10.96</v>
      </c>
      <c r="J17" s="454">
        <v>9.9</v>
      </c>
      <c r="K17" s="454">
        <v>6.97</v>
      </c>
      <c r="L17" s="454">
        <v>9.92</v>
      </c>
      <c r="M17" s="454">
        <v>10.77</v>
      </c>
      <c r="N17" s="454">
        <v>9.68</v>
      </c>
      <c r="O17" s="454">
        <v>6.97</v>
      </c>
      <c r="P17" s="454">
        <f t="shared" ref="P17:Q19" si="0">+P16</f>
        <v>11.49</v>
      </c>
      <c r="Q17" s="454">
        <f t="shared" si="0"/>
        <v>10.41</v>
      </c>
      <c r="R17" s="454">
        <v>9.9600000000000009</v>
      </c>
      <c r="S17" s="454">
        <v>6.97</v>
      </c>
      <c r="T17" s="454">
        <v>11.28</v>
      </c>
      <c r="U17" s="454">
        <v>10.63</v>
      </c>
      <c r="V17" s="454">
        <v>10.42</v>
      </c>
      <c r="W17" s="454">
        <v>6.97</v>
      </c>
      <c r="X17" s="454">
        <f>+X16</f>
        <v>12.02</v>
      </c>
      <c r="Y17" s="454">
        <v>11.14</v>
      </c>
      <c r="Z17" s="454">
        <f>+Z16</f>
        <v>10.77</v>
      </c>
      <c r="AA17" s="454">
        <v>6.97</v>
      </c>
      <c r="AB17" s="454">
        <v>12.9</v>
      </c>
      <c r="AC17" s="454">
        <f>+AC16</f>
        <v>11.79</v>
      </c>
      <c r="AD17" s="454">
        <v>12.19</v>
      </c>
      <c r="AE17" s="454">
        <v>6.97</v>
      </c>
      <c r="AF17" s="454">
        <f t="shared" ref="AF17:AH19" si="1">+AF16</f>
        <v>12.72</v>
      </c>
      <c r="AG17" s="454">
        <f t="shared" si="1"/>
        <v>11.95</v>
      </c>
      <c r="AH17" s="454">
        <f t="shared" si="1"/>
        <v>11.91</v>
      </c>
      <c r="AI17" s="454">
        <v>6.97</v>
      </c>
      <c r="AJ17" s="454">
        <v>12.72</v>
      </c>
      <c r="AK17" s="454">
        <v>11.95</v>
      </c>
      <c r="AL17" s="454">
        <v>11.91</v>
      </c>
      <c r="AM17" s="454">
        <v>7.16</v>
      </c>
      <c r="AN17" s="454">
        <v>7.13</v>
      </c>
      <c r="AO17" s="454">
        <v>7.13</v>
      </c>
    </row>
    <row r="18" spans="2:41" x14ac:dyDescent="0.3">
      <c r="B18" s="530"/>
      <c r="C18" s="476" t="s">
        <v>226</v>
      </c>
      <c r="D18" s="454">
        <f>+D17</f>
        <v>10.46</v>
      </c>
      <c r="E18" s="454">
        <f>E17</f>
        <v>11.39</v>
      </c>
      <c r="F18" s="454">
        <v>11.04</v>
      </c>
      <c r="G18" s="454">
        <v>10.86</v>
      </c>
      <c r="H18" s="454">
        <v>10.07</v>
      </c>
      <c r="I18" s="454">
        <v>10.96</v>
      </c>
      <c r="J18" s="454">
        <v>9.9</v>
      </c>
      <c r="K18" s="454">
        <v>10.86</v>
      </c>
      <c r="L18" s="454">
        <v>9.92</v>
      </c>
      <c r="M18" s="454">
        <v>10.77</v>
      </c>
      <c r="N18" s="454">
        <v>9.68</v>
      </c>
      <c r="O18" s="454">
        <v>10.86</v>
      </c>
      <c r="P18" s="454">
        <f t="shared" si="0"/>
        <v>11.49</v>
      </c>
      <c r="Q18" s="454">
        <f t="shared" si="0"/>
        <v>10.41</v>
      </c>
      <c r="R18" s="454">
        <v>9.9600000000000009</v>
      </c>
      <c r="S18" s="454">
        <v>10.86</v>
      </c>
      <c r="T18" s="454">
        <v>11.28</v>
      </c>
      <c r="U18" s="454">
        <v>10.63</v>
      </c>
      <c r="V18" s="454">
        <v>10.42</v>
      </c>
      <c r="W18" s="454">
        <v>10.86</v>
      </c>
      <c r="X18" s="454">
        <f>+X17</f>
        <v>12.02</v>
      </c>
      <c r="Y18" s="454">
        <f>+Y17</f>
        <v>11.14</v>
      </c>
      <c r="Z18" s="454">
        <f>+Z17</f>
        <v>10.77</v>
      </c>
      <c r="AA18" s="454">
        <v>10.86</v>
      </c>
      <c r="AB18" s="454">
        <v>12.9</v>
      </c>
      <c r="AC18" s="454">
        <f>+AC17</f>
        <v>11.79</v>
      </c>
      <c r="AD18" s="454">
        <v>12.19</v>
      </c>
      <c r="AE18" s="454">
        <v>10.86</v>
      </c>
      <c r="AF18" s="454">
        <f t="shared" si="1"/>
        <v>12.72</v>
      </c>
      <c r="AG18" s="454">
        <f t="shared" si="1"/>
        <v>11.95</v>
      </c>
      <c r="AH18" s="454">
        <f t="shared" si="1"/>
        <v>11.91</v>
      </c>
      <c r="AI18" s="454">
        <v>10.86</v>
      </c>
      <c r="AJ18" s="454">
        <v>12.72</v>
      </c>
      <c r="AK18" s="454">
        <v>11.95</v>
      </c>
      <c r="AL18" s="454">
        <v>11.91</v>
      </c>
      <c r="AM18" s="454">
        <v>10.92</v>
      </c>
      <c r="AN18" s="454">
        <v>10.9</v>
      </c>
      <c r="AO18" s="454">
        <v>10.89</v>
      </c>
    </row>
    <row r="19" spans="2:41" x14ac:dyDescent="0.3">
      <c r="B19" s="531"/>
      <c r="C19" s="476" t="s">
        <v>227</v>
      </c>
      <c r="D19" s="454">
        <f>+D18</f>
        <v>10.46</v>
      </c>
      <c r="E19" s="454">
        <f>E18</f>
        <v>11.39</v>
      </c>
      <c r="F19" s="454">
        <f>F18</f>
        <v>11.04</v>
      </c>
      <c r="G19" s="454">
        <v>11.1</v>
      </c>
      <c r="H19" s="454">
        <v>10.07</v>
      </c>
      <c r="I19" s="454">
        <v>10.96</v>
      </c>
      <c r="J19" s="454">
        <v>9.9</v>
      </c>
      <c r="K19" s="454">
        <v>11.1</v>
      </c>
      <c r="L19" s="454">
        <v>9.92</v>
      </c>
      <c r="M19" s="454">
        <v>10.77</v>
      </c>
      <c r="N19" s="454">
        <v>9.68</v>
      </c>
      <c r="O19" s="454">
        <v>11.1</v>
      </c>
      <c r="P19" s="454">
        <f t="shared" si="0"/>
        <v>11.49</v>
      </c>
      <c r="Q19" s="454">
        <f t="shared" si="0"/>
        <v>10.41</v>
      </c>
      <c r="R19" s="454">
        <v>9.9600000000000009</v>
      </c>
      <c r="S19" s="454">
        <v>11.1</v>
      </c>
      <c r="T19" s="454">
        <v>11.28</v>
      </c>
      <c r="U19" s="454">
        <v>10.63</v>
      </c>
      <c r="V19" s="454">
        <v>10.42</v>
      </c>
      <c r="W19" s="454">
        <v>11.1</v>
      </c>
      <c r="X19" s="454">
        <f>+X18</f>
        <v>12.02</v>
      </c>
      <c r="Y19" s="454">
        <f>+Y18</f>
        <v>11.14</v>
      </c>
      <c r="Z19" s="454">
        <f>+Z18</f>
        <v>10.77</v>
      </c>
      <c r="AA19" s="454">
        <v>11.1</v>
      </c>
      <c r="AB19" s="454">
        <v>12.9</v>
      </c>
      <c r="AC19" s="454">
        <f>+AC18</f>
        <v>11.79</v>
      </c>
      <c r="AD19" s="454">
        <v>12.19</v>
      </c>
      <c r="AE19" s="454">
        <v>11.1</v>
      </c>
      <c r="AF19" s="454">
        <f t="shared" si="1"/>
        <v>12.72</v>
      </c>
      <c r="AG19" s="454">
        <f t="shared" si="1"/>
        <v>11.95</v>
      </c>
      <c r="AH19" s="454">
        <f t="shared" si="1"/>
        <v>11.91</v>
      </c>
      <c r="AI19" s="454">
        <v>11.1</v>
      </c>
      <c r="AJ19" s="454">
        <v>12.72</v>
      </c>
      <c r="AK19" s="454">
        <v>11.95</v>
      </c>
      <c r="AL19" s="454">
        <v>11.91</v>
      </c>
      <c r="AM19" s="454">
        <v>11.15</v>
      </c>
      <c r="AN19" s="454">
        <v>11.13</v>
      </c>
      <c r="AO19" s="454">
        <v>11.13</v>
      </c>
    </row>
    <row r="20" spans="2:41" x14ac:dyDescent="0.3">
      <c r="B20" s="477"/>
      <c r="C20" s="477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  <c r="Y20" s="455"/>
      <c r="Z20" s="455"/>
      <c r="AA20" s="455"/>
      <c r="AB20" s="455"/>
      <c r="AC20" s="455"/>
      <c r="AD20" s="455"/>
      <c r="AE20" s="455"/>
      <c r="AF20" s="455"/>
      <c r="AG20" s="455"/>
      <c r="AH20" s="455"/>
      <c r="AI20" s="455"/>
      <c r="AJ20" s="455"/>
      <c r="AK20" s="455"/>
      <c r="AL20" s="455"/>
      <c r="AM20" s="455"/>
      <c r="AN20" s="455"/>
      <c r="AO20" s="455"/>
    </row>
    <row r="21" spans="2:41" x14ac:dyDescent="0.3">
      <c r="B21" s="514" t="s">
        <v>228</v>
      </c>
      <c r="C21" s="478" t="s">
        <v>229</v>
      </c>
      <c r="D21" s="454">
        <v>45.68</v>
      </c>
      <c r="E21" s="454">
        <v>36.64</v>
      </c>
      <c r="F21" s="454">
        <v>41.75</v>
      </c>
      <c r="G21" s="454">
        <v>137.66999999999999</v>
      </c>
      <c r="H21" s="454">
        <v>45.92</v>
      </c>
      <c r="I21" s="454">
        <v>36.83</v>
      </c>
      <c r="J21" s="454">
        <v>41.97</v>
      </c>
      <c r="K21" s="454">
        <v>137.66999999999999</v>
      </c>
      <c r="L21" s="454">
        <v>45.5</v>
      </c>
      <c r="M21" s="454">
        <v>36.47</v>
      </c>
      <c r="N21" s="454">
        <v>41.57</v>
      </c>
      <c r="O21" s="454">
        <v>137.66999999999999</v>
      </c>
      <c r="P21" s="454">
        <v>38.18</v>
      </c>
      <c r="Q21" s="454">
        <v>47.66</v>
      </c>
      <c r="R21" s="454">
        <v>43.53</v>
      </c>
      <c r="S21" s="454">
        <v>137.66999999999999</v>
      </c>
      <c r="T21" s="454">
        <v>29.7</v>
      </c>
      <c r="U21" s="454">
        <v>37.270000000000003</v>
      </c>
      <c r="V21" s="454">
        <v>33.950000000000003</v>
      </c>
      <c r="W21" s="454">
        <v>137.66999999999999</v>
      </c>
      <c r="X21" s="454">
        <v>30.26</v>
      </c>
      <c r="Y21" s="454">
        <v>37.96</v>
      </c>
      <c r="Z21" s="454">
        <v>34.58</v>
      </c>
      <c r="AA21" s="454">
        <v>137.66999999999999</v>
      </c>
      <c r="AB21" s="454">
        <v>40.18</v>
      </c>
      <c r="AC21" s="454">
        <v>50.12</v>
      </c>
      <c r="AD21" s="454">
        <v>45.8</v>
      </c>
      <c r="AE21" s="454">
        <v>137.66999999999999</v>
      </c>
      <c r="AF21" s="454">
        <v>40.97</v>
      </c>
      <c r="AG21" s="454">
        <v>51.1</v>
      </c>
      <c r="AH21" s="454">
        <v>46.7</v>
      </c>
      <c r="AI21" s="454">
        <v>137.66999999999999</v>
      </c>
      <c r="AJ21" s="454">
        <v>40.97</v>
      </c>
      <c r="AK21" s="454">
        <v>51.1</v>
      </c>
      <c r="AL21" s="454">
        <v>46.7</v>
      </c>
      <c r="AM21" s="454">
        <v>134.55000000000001</v>
      </c>
      <c r="AN21" s="454">
        <v>134.88</v>
      </c>
      <c r="AO21" s="454">
        <v>134.74</v>
      </c>
    </row>
    <row r="22" spans="2:41" x14ac:dyDescent="0.3">
      <c r="B22" s="514"/>
      <c r="C22" s="478" t="s">
        <v>223</v>
      </c>
      <c r="D22" s="454">
        <v>10.46</v>
      </c>
      <c r="E22" s="454">
        <f>E19</f>
        <v>11.39</v>
      </c>
      <c r="F22" s="454">
        <v>11.04</v>
      </c>
      <c r="G22" s="454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</row>
    <row r="23" spans="2:41" x14ac:dyDescent="0.3">
      <c r="B23" s="514"/>
      <c r="C23" s="478" t="s">
        <v>224</v>
      </c>
      <c r="D23" s="454">
        <f t="shared" ref="D23:E26" si="2">D22</f>
        <v>10.46</v>
      </c>
      <c r="E23" s="454">
        <f t="shared" si="2"/>
        <v>11.39</v>
      </c>
      <c r="F23" s="454">
        <v>11.04</v>
      </c>
      <c r="G23" s="454">
        <v>5.97</v>
      </c>
      <c r="H23" s="454">
        <v>10.07</v>
      </c>
      <c r="I23" s="454">
        <v>10.96</v>
      </c>
      <c r="J23" s="454">
        <v>9.9</v>
      </c>
      <c r="K23" s="454">
        <v>5.97</v>
      </c>
      <c r="L23" s="454">
        <v>9.92</v>
      </c>
      <c r="M23" s="454">
        <v>10.77</v>
      </c>
      <c r="N23" s="454">
        <v>9.68</v>
      </c>
      <c r="O23" s="454">
        <v>5.97</v>
      </c>
      <c r="P23" s="454">
        <v>11.49</v>
      </c>
      <c r="Q23" s="454">
        <v>10.41</v>
      </c>
      <c r="R23" s="454">
        <v>9.9600000000000009</v>
      </c>
      <c r="S23" s="454">
        <v>5.97</v>
      </c>
      <c r="T23" s="454">
        <v>11.28</v>
      </c>
      <c r="U23" s="454">
        <v>10.63</v>
      </c>
      <c r="V23" s="454">
        <v>10.42</v>
      </c>
      <c r="W23" s="454">
        <v>5.97</v>
      </c>
      <c r="X23" s="454">
        <v>12.02</v>
      </c>
      <c r="Y23" s="454">
        <v>11.14</v>
      </c>
      <c r="Z23" s="454">
        <v>10.77</v>
      </c>
      <c r="AA23" s="454">
        <v>5.97</v>
      </c>
      <c r="AB23" s="454">
        <v>12.9</v>
      </c>
      <c r="AC23" s="454">
        <v>11.79</v>
      </c>
      <c r="AD23" s="454">
        <v>12.19</v>
      </c>
      <c r="AE23" s="454">
        <v>5.97</v>
      </c>
      <c r="AF23" s="454">
        <v>12.72</v>
      </c>
      <c r="AG23" s="454">
        <v>11.95</v>
      </c>
      <c r="AH23" s="454">
        <v>11.91</v>
      </c>
      <c r="AI23" s="454">
        <v>5.97</v>
      </c>
      <c r="AJ23" s="454">
        <v>12.72</v>
      </c>
      <c r="AK23" s="454">
        <v>11.95</v>
      </c>
      <c r="AL23" s="454">
        <v>11.91</v>
      </c>
      <c r="AM23" s="454">
        <v>6.19</v>
      </c>
      <c r="AN23" s="454">
        <v>6.16</v>
      </c>
      <c r="AO23" s="454">
        <v>6.16</v>
      </c>
    </row>
    <row r="24" spans="2:41" x14ac:dyDescent="0.3">
      <c r="B24" s="514"/>
      <c r="C24" s="478" t="s">
        <v>225</v>
      </c>
      <c r="D24" s="454">
        <f t="shared" si="2"/>
        <v>10.46</v>
      </c>
      <c r="E24" s="454">
        <f t="shared" si="2"/>
        <v>11.39</v>
      </c>
      <c r="F24" s="454">
        <v>11.04</v>
      </c>
      <c r="G24" s="454">
        <v>8.6199999999999992</v>
      </c>
      <c r="H24" s="454">
        <v>10.07</v>
      </c>
      <c r="I24" s="454">
        <v>10.96</v>
      </c>
      <c r="J24" s="454">
        <v>9.9</v>
      </c>
      <c r="K24" s="454">
        <v>8.6199999999999992</v>
      </c>
      <c r="L24" s="454">
        <v>9.92</v>
      </c>
      <c r="M24" s="454">
        <v>10.77</v>
      </c>
      <c r="N24" s="454">
        <v>9.68</v>
      </c>
      <c r="O24" s="454">
        <v>8.6199999999999992</v>
      </c>
      <c r="P24" s="454">
        <v>11.49</v>
      </c>
      <c r="Q24" s="454">
        <f>+Q23</f>
        <v>10.41</v>
      </c>
      <c r="R24" s="454">
        <v>9.9600000000000009</v>
      </c>
      <c r="S24" s="454">
        <v>8.6199999999999992</v>
      </c>
      <c r="T24" s="454">
        <v>11.28</v>
      </c>
      <c r="U24" s="454">
        <v>10.63</v>
      </c>
      <c r="V24" s="454">
        <v>10.42</v>
      </c>
      <c r="W24" s="454">
        <v>8.6199999999999992</v>
      </c>
      <c r="X24" s="454">
        <f t="shared" ref="X24:Z26" si="3">+X23</f>
        <v>12.02</v>
      </c>
      <c r="Y24" s="454">
        <f t="shared" si="3"/>
        <v>11.14</v>
      </c>
      <c r="Z24" s="454">
        <f t="shared" si="3"/>
        <v>10.77</v>
      </c>
      <c r="AA24" s="454">
        <v>8.6199999999999992</v>
      </c>
      <c r="AB24" s="454">
        <v>12.9</v>
      </c>
      <c r="AC24" s="454">
        <v>11.79</v>
      </c>
      <c r="AD24" s="454">
        <v>12.19</v>
      </c>
      <c r="AE24" s="454">
        <v>8.6199999999999992</v>
      </c>
      <c r="AF24" s="454">
        <f t="shared" ref="AF24:AH26" si="4">+AF23</f>
        <v>12.72</v>
      </c>
      <c r="AG24" s="454">
        <f t="shared" si="4"/>
        <v>11.95</v>
      </c>
      <c r="AH24" s="454">
        <f t="shared" si="4"/>
        <v>11.91</v>
      </c>
      <c r="AI24" s="454">
        <v>8.6199999999999992</v>
      </c>
      <c r="AJ24" s="454">
        <v>12.72</v>
      </c>
      <c r="AK24" s="454">
        <v>11.95</v>
      </c>
      <c r="AL24" s="454">
        <v>11.91</v>
      </c>
      <c r="AM24" s="454">
        <v>8.75</v>
      </c>
      <c r="AN24" s="454">
        <v>8.73</v>
      </c>
      <c r="AO24" s="454">
        <v>8.73</v>
      </c>
    </row>
    <row r="25" spans="2:41" x14ac:dyDescent="0.3">
      <c r="B25" s="514"/>
      <c r="C25" s="478" t="s">
        <v>226</v>
      </c>
      <c r="D25" s="454">
        <f t="shared" si="2"/>
        <v>10.46</v>
      </c>
      <c r="E25" s="454">
        <f t="shared" si="2"/>
        <v>11.39</v>
      </c>
      <c r="F25" s="454">
        <v>11.04</v>
      </c>
      <c r="G25" s="456">
        <v>11.3</v>
      </c>
      <c r="H25" s="454">
        <v>10.07</v>
      </c>
      <c r="I25" s="454">
        <v>10.96</v>
      </c>
      <c r="J25" s="454">
        <v>9.9</v>
      </c>
      <c r="K25" s="456">
        <v>11.3</v>
      </c>
      <c r="L25" s="454">
        <v>9.92</v>
      </c>
      <c r="M25" s="454">
        <v>10.77</v>
      </c>
      <c r="N25" s="454">
        <v>9.68</v>
      </c>
      <c r="O25" s="456">
        <v>11.3</v>
      </c>
      <c r="P25" s="454">
        <v>11.49</v>
      </c>
      <c r="Q25" s="454">
        <f>+Q24</f>
        <v>10.41</v>
      </c>
      <c r="R25" s="454">
        <v>9.9600000000000009</v>
      </c>
      <c r="S25" s="456">
        <v>11.3</v>
      </c>
      <c r="T25" s="454">
        <v>11.28</v>
      </c>
      <c r="U25" s="454">
        <v>10.63</v>
      </c>
      <c r="V25" s="454">
        <v>10.42</v>
      </c>
      <c r="W25" s="456">
        <v>11.3</v>
      </c>
      <c r="X25" s="454">
        <f t="shared" si="3"/>
        <v>12.02</v>
      </c>
      <c r="Y25" s="454">
        <f t="shared" si="3"/>
        <v>11.14</v>
      </c>
      <c r="Z25" s="454">
        <f t="shared" si="3"/>
        <v>10.77</v>
      </c>
      <c r="AA25" s="456">
        <v>11.3</v>
      </c>
      <c r="AB25" s="454">
        <v>12.9</v>
      </c>
      <c r="AC25" s="454">
        <v>11.79</v>
      </c>
      <c r="AD25" s="454">
        <v>12.19</v>
      </c>
      <c r="AE25" s="456">
        <v>11.3</v>
      </c>
      <c r="AF25" s="454">
        <f t="shared" si="4"/>
        <v>12.72</v>
      </c>
      <c r="AG25" s="454">
        <f t="shared" si="4"/>
        <v>11.95</v>
      </c>
      <c r="AH25" s="454">
        <f t="shared" si="4"/>
        <v>11.91</v>
      </c>
      <c r="AI25" s="456">
        <v>11.3</v>
      </c>
      <c r="AJ25" s="454">
        <v>12.72</v>
      </c>
      <c r="AK25" s="454">
        <v>11.95</v>
      </c>
      <c r="AL25" s="454">
        <v>11.91</v>
      </c>
      <c r="AM25" s="454">
        <v>11.35</v>
      </c>
      <c r="AN25" s="454">
        <v>11.32</v>
      </c>
      <c r="AO25" s="454">
        <v>11.32</v>
      </c>
    </row>
    <row r="26" spans="2:41" x14ac:dyDescent="0.3">
      <c r="B26" s="515"/>
      <c r="C26" s="479" t="s">
        <v>227</v>
      </c>
      <c r="D26" s="454">
        <f t="shared" si="2"/>
        <v>10.46</v>
      </c>
      <c r="E26" s="454">
        <f t="shared" si="2"/>
        <v>11.39</v>
      </c>
      <c r="F26" s="454">
        <v>11.04</v>
      </c>
      <c r="G26" s="456">
        <v>11.49</v>
      </c>
      <c r="H26" s="454">
        <v>10.07</v>
      </c>
      <c r="I26" s="454">
        <v>10.96</v>
      </c>
      <c r="J26" s="454">
        <v>9.9</v>
      </c>
      <c r="K26" s="456">
        <v>11.49</v>
      </c>
      <c r="L26" s="454">
        <v>9.92</v>
      </c>
      <c r="M26" s="454">
        <v>10.77</v>
      </c>
      <c r="N26" s="454">
        <v>9.68</v>
      </c>
      <c r="O26" s="456">
        <v>11.49</v>
      </c>
      <c r="P26" s="454">
        <v>11.49</v>
      </c>
      <c r="Q26" s="454">
        <f>+Q25</f>
        <v>10.41</v>
      </c>
      <c r="R26" s="454">
        <v>9.9600000000000009</v>
      </c>
      <c r="S26" s="456">
        <v>11.49</v>
      </c>
      <c r="T26" s="454">
        <v>11.28</v>
      </c>
      <c r="U26" s="454">
        <v>10.63</v>
      </c>
      <c r="V26" s="454">
        <v>10.42</v>
      </c>
      <c r="W26" s="456">
        <v>11.49</v>
      </c>
      <c r="X26" s="454">
        <f t="shared" si="3"/>
        <v>12.02</v>
      </c>
      <c r="Y26" s="454">
        <f t="shared" si="3"/>
        <v>11.14</v>
      </c>
      <c r="Z26" s="454">
        <f t="shared" si="3"/>
        <v>10.77</v>
      </c>
      <c r="AA26" s="456">
        <v>11.49</v>
      </c>
      <c r="AB26" s="454">
        <v>12.9</v>
      </c>
      <c r="AC26" s="454">
        <v>11.79</v>
      </c>
      <c r="AD26" s="454">
        <v>12.19</v>
      </c>
      <c r="AE26" s="456">
        <v>11.49</v>
      </c>
      <c r="AF26" s="454">
        <f t="shared" si="4"/>
        <v>12.72</v>
      </c>
      <c r="AG26" s="454">
        <f t="shared" si="4"/>
        <v>11.95</v>
      </c>
      <c r="AH26" s="454">
        <f t="shared" si="4"/>
        <v>11.91</v>
      </c>
      <c r="AI26" s="456">
        <v>11.49</v>
      </c>
      <c r="AJ26" s="454">
        <v>12.72</v>
      </c>
      <c r="AK26" s="454">
        <v>11.95</v>
      </c>
      <c r="AL26" s="454">
        <v>11.91</v>
      </c>
      <c r="AM26" s="454">
        <v>11.53</v>
      </c>
      <c r="AN26" s="454">
        <v>11.5</v>
      </c>
      <c r="AO26" s="454">
        <v>11.5</v>
      </c>
    </row>
    <row r="27" spans="2:41" x14ac:dyDescent="0.3">
      <c r="B27" s="480"/>
      <c r="C27" s="477"/>
      <c r="D27" s="455"/>
      <c r="E27" s="455"/>
      <c r="F27" s="455"/>
      <c r="G27" s="455"/>
      <c r="H27" s="455"/>
      <c r="I27" s="455"/>
      <c r="J27" s="455"/>
      <c r="K27" s="455"/>
      <c r="L27" s="455"/>
      <c r="M27" s="455"/>
      <c r="N27" s="455"/>
      <c r="O27" s="455"/>
      <c r="P27" s="455"/>
      <c r="Q27" s="455"/>
      <c r="R27" s="455"/>
      <c r="S27" s="455"/>
      <c r="T27" s="455"/>
      <c r="U27" s="455"/>
      <c r="V27" s="455"/>
      <c r="W27" s="455"/>
      <c r="X27" s="455"/>
      <c r="Y27" s="455"/>
      <c r="Z27" s="455"/>
      <c r="AA27" s="455"/>
      <c r="AB27" s="455"/>
      <c r="AC27" s="455"/>
      <c r="AD27" s="455"/>
      <c r="AE27" s="455"/>
      <c r="AF27" s="455"/>
      <c r="AG27" s="455"/>
      <c r="AH27" s="455"/>
      <c r="AI27" s="455"/>
      <c r="AJ27" s="455"/>
      <c r="AK27" s="455"/>
      <c r="AL27" s="455"/>
      <c r="AM27" s="455"/>
      <c r="AN27" s="455"/>
      <c r="AO27" s="455"/>
    </row>
    <row r="28" spans="2:41" x14ac:dyDescent="0.3">
      <c r="B28" s="532" t="s">
        <v>230</v>
      </c>
      <c r="C28" s="475" t="s">
        <v>229</v>
      </c>
      <c r="D28" s="457">
        <v>73.28</v>
      </c>
      <c r="E28" s="457">
        <v>58.18</v>
      </c>
      <c r="F28" s="457">
        <v>66.38</v>
      </c>
      <c r="G28" s="457">
        <v>224.53</v>
      </c>
      <c r="H28" s="457">
        <v>73.64</v>
      </c>
      <c r="I28" s="457">
        <v>58.46</v>
      </c>
      <c r="J28" s="457">
        <v>66.7</v>
      </c>
      <c r="K28" s="457">
        <v>224.53</v>
      </c>
      <c r="L28" s="457">
        <v>71.84</v>
      </c>
      <c r="M28" s="457">
        <v>57.8</v>
      </c>
      <c r="N28" s="457">
        <v>65.959999999999994</v>
      </c>
      <c r="O28" s="457">
        <v>224.53</v>
      </c>
      <c r="P28" s="457">
        <v>60.46</v>
      </c>
      <c r="Q28" s="457">
        <v>76.23</v>
      </c>
      <c r="R28" s="457">
        <v>69.010000000000005</v>
      </c>
      <c r="S28" s="457">
        <v>224.53</v>
      </c>
      <c r="T28" s="457">
        <v>46.5</v>
      </c>
      <c r="U28" s="457">
        <v>58.86</v>
      </c>
      <c r="V28" s="457">
        <v>53.17</v>
      </c>
      <c r="W28" s="457">
        <v>224.53</v>
      </c>
      <c r="X28" s="457">
        <v>47.41</v>
      </c>
      <c r="Y28" s="457">
        <v>60</v>
      </c>
      <c r="Z28" s="457">
        <v>54.21</v>
      </c>
      <c r="AA28" s="457">
        <v>224.53</v>
      </c>
      <c r="AB28" s="457">
        <v>63.74</v>
      </c>
      <c r="AC28" s="457">
        <v>80.31</v>
      </c>
      <c r="AD28" s="457">
        <v>72.73</v>
      </c>
      <c r="AE28" s="457">
        <v>224.53</v>
      </c>
      <c r="AF28" s="457">
        <v>65</v>
      </c>
      <c r="AG28" s="457">
        <v>81.89</v>
      </c>
      <c r="AH28" s="457">
        <v>74.16</v>
      </c>
      <c r="AI28" s="457">
        <v>224.53</v>
      </c>
      <c r="AJ28" s="457">
        <v>65</v>
      </c>
      <c r="AK28" s="457">
        <v>81.89</v>
      </c>
      <c r="AL28" s="457">
        <v>74.16</v>
      </c>
      <c r="AM28" s="457">
        <v>219.38</v>
      </c>
      <c r="AN28" s="457">
        <v>219.93</v>
      </c>
      <c r="AO28" s="457">
        <v>219.68</v>
      </c>
    </row>
    <row r="29" spans="2:41" x14ac:dyDescent="0.3">
      <c r="B29" s="533"/>
      <c r="C29" s="478" t="s">
        <v>231</v>
      </c>
      <c r="D29" s="456">
        <v>6.76</v>
      </c>
      <c r="E29" s="456">
        <v>7.03</v>
      </c>
      <c r="F29" s="456">
        <v>6.92</v>
      </c>
      <c r="G29" s="456">
        <v>7.37</v>
      </c>
      <c r="H29" s="456">
        <v>6.31</v>
      </c>
      <c r="I29" s="456">
        <v>6.53</v>
      </c>
      <c r="J29" s="456">
        <v>5.76</v>
      </c>
      <c r="K29" s="456">
        <v>7.37</v>
      </c>
      <c r="L29" s="456">
        <v>6.13</v>
      </c>
      <c r="M29" s="456">
        <v>6.33</v>
      </c>
      <c r="N29" s="456">
        <v>5.55</v>
      </c>
      <c r="O29" s="456">
        <v>7.37</v>
      </c>
      <c r="P29" s="456">
        <v>6.68</v>
      </c>
      <c r="Q29" s="456">
        <v>6.31</v>
      </c>
      <c r="R29" s="456">
        <v>5.47</v>
      </c>
      <c r="S29" s="456">
        <v>7.37</v>
      </c>
      <c r="T29" s="456">
        <v>7.01</v>
      </c>
      <c r="U29" s="456">
        <v>6.84</v>
      </c>
      <c r="V29" s="456">
        <v>6.46</v>
      </c>
      <c r="W29" s="456">
        <v>7.37</v>
      </c>
      <c r="X29" s="456">
        <v>7.42</v>
      </c>
      <c r="Y29" s="456">
        <v>7.19</v>
      </c>
      <c r="Z29" s="456">
        <v>6.5</v>
      </c>
      <c r="AA29" s="456">
        <v>7.37</v>
      </c>
      <c r="AB29" s="456">
        <v>7.28</v>
      </c>
      <c r="AC29" s="456">
        <v>7.12</v>
      </c>
      <c r="AD29" s="456">
        <v>6.75</v>
      </c>
      <c r="AE29" s="456">
        <v>7.37</v>
      </c>
      <c r="AF29" s="456">
        <v>7.52</v>
      </c>
      <c r="AG29" s="456">
        <v>7.55</v>
      </c>
      <c r="AH29" s="456">
        <v>7.19</v>
      </c>
      <c r="AI29" s="456">
        <v>7.37</v>
      </c>
      <c r="AJ29" s="456">
        <v>7.52</v>
      </c>
      <c r="AK29" s="456">
        <v>7.55</v>
      </c>
      <c r="AL29" s="456">
        <v>7.19</v>
      </c>
      <c r="AM29" s="456">
        <v>7.37</v>
      </c>
      <c r="AN29" s="456">
        <v>7.38</v>
      </c>
      <c r="AO29" s="456">
        <v>7.36</v>
      </c>
    </row>
    <row r="30" spans="2:41" x14ac:dyDescent="0.3">
      <c r="B30" s="534"/>
      <c r="C30" s="479" t="s">
        <v>232</v>
      </c>
      <c r="D30" s="458">
        <v>1463.36</v>
      </c>
      <c r="E30" s="458">
        <v>1976.12</v>
      </c>
      <c r="F30" s="458">
        <v>1814.34</v>
      </c>
      <c r="G30" s="458">
        <v>993.99</v>
      </c>
      <c r="H30" s="458">
        <v>1485.06</v>
      </c>
      <c r="I30" s="458">
        <v>2015.27</v>
      </c>
      <c r="J30" s="458">
        <v>1824.15</v>
      </c>
      <c r="K30" s="458">
        <v>993.99</v>
      </c>
      <c r="L30" s="458">
        <v>1494.97</v>
      </c>
      <c r="M30" s="458">
        <v>2021.8</v>
      </c>
      <c r="N30" s="458">
        <v>1821.67</v>
      </c>
      <c r="O30" s="458">
        <v>993.99</v>
      </c>
      <c r="P30" s="458">
        <v>2180.5300000000002</v>
      </c>
      <c r="Q30" s="458">
        <v>1621.25</v>
      </c>
      <c r="R30" s="458">
        <v>1978.11</v>
      </c>
      <c r="S30" s="458">
        <v>993.99</v>
      </c>
      <c r="T30" s="458">
        <v>1958.7</v>
      </c>
      <c r="U30" s="458">
        <v>1490.44</v>
      </c>
      <c r="V30" s="458">
        <v>1752.96</v>
      </c>
      <c r="W30" s="458">
        <v>993.99</v>
      </c>
      <c r="X30" s="458">
        <v>2103.0700000000002</v>
      </c>
      <c r="Y30" s="458">
        <v>1557.81</v>
      </c>
      <c r="Z30" s="458">
        <v>1888.85</v>
      </c>
      <c r="AA30" s="458">
        <v>993.99</v>
      </c>
      <c r="AB30" s="458">
        <v>2540.64</v>
      </c>
      <c r="AC30" s="458">
        <v>1855.4</v>
      </c>
      <c r="AD30" s="458">
        <v>2401.06</v>
      </c>
      <c r="AE30" s="458">
        <v>993.99</v>
      </c>
      <c r="AF30" s="458">
        <v>2326.42</v>
      </c>
      <c r="AG30" s="458">
        <v>1750.37</v>
      </c>
      <c r="AH30" s="458">
        <v>2057.5100000000002</v>
      </c>
      <c r="AI30" s="458">
        <v>993.99</v>
      </c>
      <c r="AJ30" s="458">
        <v>2326.42</v>
      </c>
      <c r="AK30" s="458">
        <v>1750.37</v>
      </c>
      <c r="AL30" s="458">
        <v>2057.5100000000002</v>
      </c>
      <c r="AM30" s="458">
        <v>1036.97</v>
      </c>
      <c r="AN30" s="458">
        <v>1018.39</v>
      </c>
      <c r="AO30" s="458">
        <v>1028.3</v>
      </c>
    </row>
    <row r="31" spans="2:41" x14ac:dyDescent="0.3">
      <c r="B31" s="480"/>
      <c r="C31" s="477"/>
      <c r="D31" s="455"/>
      <c r="E31" s="455"/>
      <c r="F31" s="455"/>
      <c r="G31" s="455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  <c r="Y31" s="455"/>
      <c r="Z31" s="455"/>
      <c r="AA31" s="455"/>
      <c r="AB31" s="455"/>
      <c r="AC31" s="455"/>
      <c r="AD31" s="455"/>
      <c r="AE31" s="455"/>
      <c r="AF31" s="455"/>
      <c r="AG31" s="455"/>
      <c r="AH31" s="455"/>
      <c r="AI31" s="455"/>
      <c r="AJ31" s="455"/>
      <c r="AK31" s="455"/>
      <c r="AL31" s="455"/>
      <c r="AM31" s="455"/>
      <c r="AN31" s="455"/>
      <c r="AO31" s="455"/>
    </row>
    <row r="32" spans="2:41" x14ac:dyDescent="0.3">
      <c r="B32" s="535" t="s">
        <v>233</v>
      </c>
      <c r="C32" s="481" t="s">
        <v>229</v>
      </c>
      <c r="D32" s="455">
        <v>73.28</v>
      </c>
      <c r="E32" s="459">
        <v>58.18</v>
      </c>
      <c r="F32" s="459">
        <v>66.38</v>
      </c>
      <c r="G32" s="460">
        <v>224.53</v>
      </c>
      <c r="H32" s="455">
        <v>73.64</v>
      </c>
      <c r="I32" s="459">
        <v>58.46</v>
      </c>
      <c r="J32" s="459">
        <v>66.7</v>
      </c>
      <c r="K32" s="460">
        <v>224.53</v>
      </c>
      <c r="L32" s="455">
        <v>72.84</v>
      </c>
      <c r="M32" s="459">
        <v>57.8</v>
      </c>
      <c r="N32" s="459">
        <v>65.959999999999994</v>
      </c>
      <c r="O32" s="460">
        <v>224.53</v>
      </c>
      <c r="P32" s="455">
        <v>60.46</v>
      </c>
      <c r="Q32" s="459">
        <v>76.23</v>
      </c>
      <c r="R32" s="459">
        <v>69.010000000000005</v>
      </c>
      <c r="S32" s="460">
        <v>224.53</v>
      </c>
      <c r="T32" s="455">
        <v>46.5</v>
      </c>
      <c r="U32" s="459">
        <v>58.86</v>
      </c>
      <c r="V32" s="459">
        <v>53.17</v>
      </c>
      <c r="W32" s="460">
        <v>224.53</v>
      </c>
      <c r="X32" s="455">
        <v>47.41</v>
      </c>
      <c r="Y32" s="459">
        <v>60</v>
      </c>
      <c r="Z32" s="459">
        <v>54.21</v>
      </c>
      <c r="AA32" s="460">
        <v>224.53</v>
      </c>
      <c r="AB32" s="457">
        <v>63.74</v>
      </c>
      <c r="AC32" s="459">
        <f>+AC28</f>
        <v>80.31</v>
      </c>
      <c r="AD32" s="457">
        <v>72.73</v>
      </c>
      <c r="AE32" s="460">
        <v>224.53</v>
      </c>
      <c r="AF32" s="457">
        <v>65</v>
      </c>
      <c r="AG32" s="459">
        <v>81.89</v>
      </c>
      <c r="AH32" s="457">
        <v>74.16</v>
      </c>
      <c r="AI32" s="460">
        <v>224.53</v>
      </c>
      <c r="AJ32" s="457">
        <v>65</v>
      </c>
      <c r="AK32" s="459">
        <v>81.89</v>
      </c>
      <c r="AL32" s="457">
        <v>74.16</v>
      </c>
      <c r="AM32" s="457">
        <v>219.38</v>
      </c>
      <c r="AN32" s="459">
        <v>219.93</v>
      </c>
      <c r="AO32" s="457">
        <v>219.68</v>
      </c>
    </row>
    <row r="33" spans="2:41" x14ac:dyDescent="0.3">
      <c r="B33" s="536"/>
      <c r="C33" s="478" t="s">
        <v>231</v>
      </c>
      <c r="D33" s="456">
        <v>6.76</v>
      </c>
      <c r="E33" s="456">
        <v>7.03</v>
      </c>
      <c r="F33" s="456">
        <v>6.92</v>
      </c>
      <c r="G33" s="456">
        <v>7.26</v>
      </c>
      <c r="H33" s="456">
        <v>6.31</v>
      </c>
      <c r="I33" s="456">
        <v>6.53</v>
      </c>
      <c r="J33" s="456">
        <v>5.76</v>
      </c>
      <c r="K33" s="456">
        <v>7.26</v>
      </c>
      <c r="L33" s="456">
        <v>6.13</v>
      </c>
      <c r="M33" s="456">
        <v>6.33</v>
      </c>
      <c r="N33" s="456">
        <v>5.55</v>
      </c>
      <c r="O33" s="456">
        <v>7.26</v>
      </c>
      <c r="P33" s="456">
        <v>6.68</v>
      </c>
      <c r="Q33" s="456">
        <v>6.31</v>
      </c>
      <c r="R33" s="456">
        <v>5.47</v>
      </c>
      <c r="S33" s="456">
        <v>7.26</v>
      </c>
      <c r="T33" s="456">
        <v>7.01</v>
      </c>
      <c r="U33" s="456">
        <v>6.84</v>
      </c>
      <c r="V33" s="456">
        <v>6.46</v>
      </c>
      <c r="W33" s="456">
        <v>7.26</v>
      </c>
      <c r="X33" s="456">
        <v>7.42</v>
      </c>
      <c r="Y33" s="456">
        <v>7.19</v>
      </c>
      <c r="Z33" s="456">
        <v>6.5</v>
      </c>
      <c r="AA33" s="456">
        <v>7.26</v>
      </c>
      <c r="AB33" s="456">
        <v>7.28</v>
      </c>
      <c r="AC33" s="456">
        <f>+AC29</f>
        <v>7.12</v>
      </c>
      <c r="AD33" s="456">
        <v>6.75</v>
      </c>
      <c r="AE33" s="456">
        <v>7.26</v>
      </c>
      <c r="AF33" s="456">
        <v>7.52</v>
      </c>
      <c r="AG33" s="456">
        <v>7.55</v>
      </c>
      <c r="AH33" s="456">
        <v>7.19</v>
      </c>
      <c r="AI33" s="456">
        <v>7.26</v>
      </c>
      <c r="AJ33" s="456">
        <v>7.52</v>
      </c>
      <c r="AK33" s="456">
        <v>7.55</v>
      </c>
      <c r="AL33" s="456">
        <v>7.19</v>
      </c>
      <c r="AM33" s="456">
        <v>7.27</v>
      </c>
      <c r="AN33" s="456">
        <v>7.27</v>
      </c>
      <c r="AO33" s="456">
        <v>7.26</v>
      </c>
    </row>
    <row r="34" spans="2:41" x14ac:dyDescent="0.3">
      <c r="B34" s="536"/>
      <c r="C34" s="478" t="s">
        <v>234</v>
      </c>
      <c r="D34" s="456">
        <v>696.96</v>
      </c>
      <c r="E34" s="456">
        <v>864.6</v>
      </c>
      <c r="F34" s="456">
        <v>753.12</v>
      </c>
      <c r="G34" s="456">
        <v>253.35</v>
      </c>
      <c r="H34" s="456">
        <v>700.97</v>
      </c>
      <c r="I34" s="456">
        <v>869.08</v>
      </c>
      <c r="J34" s="456">
        <v>756.11</v>
      </c>
      <c r="K34" s="456">
        <v>253.35</v>
      </c>
      <c r="L34" s="456">
        <v>699.72</v>
      </c>
      <c r="M34" s="456">
        <v>865.87</v>
      </c>
      <c r="N34" s="456">
        <v>751.38</v>
      </c>
      <c r="O34" s="456">
        <v>253.35</v>
      </c>
      <c r="P34" s="456">
        <v>955.54</v>
      </c>
      <c r="Q34" s="456">
        <v>775.68</v>
      </c>
      <c r="R34" s="456">
        <v>830.64</v>
      </c>
      <c r="S34" s="456">
        <v>253.35</v>
      </c>
      <c r="T34" s="456">
        <v>808.94</v>
      </c>
      <c r="U34" s="456">
        <v>660.06</v>
      </c>
      <c r="V34" s="456">
        <v>707.95</v>
      </c>
      <c r="W34" s="456">
        <v>253.35</v>
      </c>
      <c r="X34" s="456">
        <v>877.7</v>
      </c>
      <c r="Y34" s="456">
        <v>720.6</v>
      </c>
      <c r="Z34" s="456">
        <v>766.91</v>
      </c>
      <c r="AA34" s="456">
        <v>253.35</v>
      </c>
      <c r="AB34" s="456">
        <v>1127.44</v>
      </c>
      <c r="AC34" s="456">
        <v>924.22</v>
      </c>
      <c r="AD34" s="456">
        <v>973.16</v>
      </c>
      <c r="AE34" s="456">
        <v>253.35</v>
      </c>
      <c r="AF34" s="456">
        <v>1091.0999999999999</v>
      </c>
      <c r="AG34" s="456">
        <v>888.64</v>
      </c>
      <c r="AH34" s="456">
        <v>945.55</v>
      </c>
      <c r="AI34" s="456">
        <v>253.35</v>
      </c>
      <c r="AJ34" s="456">
        <v>1091.0999999999999</v>
      </c>
      <c r="AK34" s="456">
        <v>888.64</v>
      </c>
      <c r="AL34" s="456">
        <v>945.55</v>
      </c>
      <c r="AM34" s="456">
        <v>280.37</v>
      </c>
      <c r="AN34" s="456">
        <v>273.83999999999997</v>
      </c>
      <c r="AO34" s="456">
        <v>275.68</v>
      </c>
    </row>
    <row r="35" spans="2:41" x14ac:dyDescent="0.3">
      <c r="B35" s="537"/>
      <c r="C35" s="479" t="s">
        <v>235</v>
      </c>
      <c r="D35" s="458">
        <v>1552.92</v>
      </c>
      <c r="E35" s="458">
        <v>2121.67</v>
      </c>
      <c r="F35" s="458">
        <v>1961.05</v>
      </c>
      <c r="G35" s="458">
        <v>1412.74</v>
      </c>
      <c r="H35" s="458">
        <v>1577.98</v>
      </c>
      <c r="I35" s="458">
        <v>2167.77</v>
      </c>
      <c r="J35" s="458">
        <v>1972</v>
      </c>
      <c r="K35" s="458">
        <v>1412.74</v>
      </c>
      <c r="L35" s="458">
        <v>1590.41</v>
      </c>
      <c r="M35" s="458">
        <v>2176.73</v>
      </c>
      <c r="N35" s="458">
        <v>1970.51</v>
      </c>
      <c r="O35" s="458">
        <v>1412.74</v>
      </c>
      <c r="P35" s="458">
        <v>2340.65</v>
      </c>
      <c r="Q35" s="458">
        <v>1719.33</v>
      </c>
      <c r="R35" s="458">
        <v>2134.9899999999998</v>
      </c>
      <c r="S35" s="458">
        <v>1412.74</v>
      </c>
      <c r="T35" s="458">
        <v>2118.41</v>
      </c>
      <c r="U35" s="458">
        <v>1597.66</v>
      </c>
      <c r="V35" s="458">
        <v>1901.04</v>
      </c>
      <c r="W35" s="458">
        <v>1412.74</v>
      </c>
      <c r="X35" s="458">
        <v>2271.6</v>
      </c>
      <c r="Y35" s="458">
        <v>1660.01</v>
      </c>
      <c r="Z35" s="458">
        <v>2047.09</v>
      </c>
      <c r="AA35" s="458">
        <v>1412.74</v>
      </c>
      <c r="AB35" s="458">
        <v>2722.68</v>
      </c>
      <c r="AC35" s="458">
        <v>1955.91</v>
      </c>
      <c r="AD35" s="458">
        <v>2602.7800000000002</v>
      </c>
      <c r="AE35" s="458">
        <v>1412.74</v>
      </c>
      <c r="AF35" s="458">
        <v>2474.23</v>
      </c>
      <c r="AG35" s="458">
        <v>1839.81</v>
      </c>
      <c r="AH35" s="458">
        <v>2194.48</v>
      </c>
      <c r="AI35" s="458">
        <v>1412.74</v>
      </c>
      <c r="AJ35" s="458">
        <v>2474.23</v>
      </c>
      <c r="AK35" s="458">
        <v>1839.81</v>
      </c>
      <c r="AL35" s="458">
        <v>2194.48</v>
      </c>
      <c r="AM35" s="458">
        <v>1446.98</v>
      </c>
      <c r="AN35" s="458">
        <v>1426.52</v>
      </c>
      <c r="AO35" s="458">
        <v>1437.96</v>
      </c>
    </row>
    <row r="36" spans="2:41" x14ac:dyDescent="0.3">
      <c r="B36" s="480"/>
      <c r="C36" s="477"/>
      <c r="D36" s="455"/>
      <c r="E36" s="455"/>
      <c r="F36" s="455"/>
      <c r="G36" s="455"/>
      <c r="H36" s="455"/>
      <c r="I36" s="455"/>
      <c r="J36" s="455"/>
      <c r="K36" s="455"/>
      <c r="L36" s="455"/>
      <c r="M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  <c r="Y36" s="455"/>
      <c r="Z36" s="455"/>
      <c r="AA36" s="455"/>
      <c r="AB36" s="455"/>
      <c r="AC36" s="455"/>
      <c r="AD36" s="455"/>
      <c r="AE36" s="455"/>
      <c r="AF36" s="455"/>
      <c r="AG36" s="455"/>
      <c r="AH36" s="455"/>
      <c r="AI36" s="455"/>
      <c r="AJ36" s="455"/>
      <c r="AK36" s="455"/>
      <c r="AL36" s="455"/>
      <c r="AM36" s="455"/>
      <c r="AN36" s="455"/>
      <c r="AO36" s="455"/>
    </row>
    <row r="37" spans="2:41" x14ac:dyDescent="0.3">
      <c r="B37" s="533" t="s">
        <v>236</v>
      </c>
      <c r="C37" s="475" t="s">
        <v>229</v>
      </c>
      <c r="D37" s="457">
        <v>80.709999999999994</v>
      </c>
      <c r="E37" s="457">
        <v>78.02</v>
      </c>
      <c r="F37" s="457">
        <v>73.709999999999994</v>
      </c>
      <c r="G37" s="457">
        <v>224.53</v>
      </c>
      <c r="H37" s="457">
        <v>81.069999999999993</v>
      </c>
      <c r="I37" s="457">
        <v>78.36</v>
      </c>
      <c r="J37" s="457">
        <v>74.040000000000006</v>
      </c>
      <c r="K37" s="457">
        <v>224.53</v>
      </c>
      <c r="L37" s="457">
        <v>80.040000000000006</v>
      </c>
      <c r="M37" s="457">
        <v>77.319999999999993</v>
      </c>
      <c r="N37" s="457">
        <v>73.099999999999994</v>
      </c>
      <c r="O37" s="457">
        <v>224.53</v>
      </c>
      <c r="P37" s="457">
        <v>80.790000000000006</v>
      </c>
      <c r="Q37" s="457">
        <v>83.67</v>
      </c>
      <c r="R37" s="457">
        <v>76.42</v>
      </c>
      <c r="S37" s="457">
        <v>224.53</v>
      </c>
      <c r="T37" s="457">
        <v>61.16</v>
      </c>
      <c r="U37" s="457">
        <v>63.68</v>
      </c>
      <c r="V37" s="457">
        <v>58.16</v>
      </c>
      <c r="W37" s="457">
        <v>224.53</v>
      </c>
      <c r="X37" s="457">
        <v>62.43</v>
      </c>
      <c r="Y37" s="457">
        <v>64.98</v>
      </c>
      <c r="Z37" s="457">
        <v>59.34</v>
      </c>
      <c r="AA37" s="457">
        <v>224.53</v>
      </c>
      <c r="AB37" s="457">
        <v>85.36</v>
      </c>
      <c r="AC37" s="457">
        <v>88.34</v>
      </c>
      <c r="AD37" s="457">
        <v>80.680000000000007</v>
      </c>
      <c r="AE37" s="457">
        <v>224.53</v>
      </c>
      <c r="AF37" s="457">
        <v>87.05</v>
      </c>
      <c r="AG37" s="457">
        <v>90.09</v>
      </c>
      <c r="AH37" s="457">
        <v>82.27</v>
      </c>
      <c r="AI37" s="457">
        <v>224.53</v>
      </c>
      <c r="AJ37" s="457">
        <v>87.05</v>
      </c>
      <c r="AK37" s="457">
        <v>90.09</v>
      </c>
      <c r="AL37" s="457">
        <v>82.27</v>
      </c>
      <c r="AM37" s="457">
        <v>220.1</v>
      </c>
      <c r="AN37" s="457">
        <v>220.19</v>
      </c>
      <c r="AO37" s="457">
        <v>219.94</v>
      </c>
    </row>
    <row r="38" spans="2:41" x14ac:dyDescent="0.3">
      <c r="B38" s="533"/>
      <c r="C38" s="478" t="s">
        <v>231</v>
      </c>
      <c r="D38" s="456">
        <v>6.05</v>
      </c>
      <c r="E38" s="456">
        <v>6.37</v>
      </c>
      <c r="F38" s="456">
        <v>6.13</v>
      </c>
      <c r="G38" s="456">
        <v>7.81</v>
      </c>
      <c r="H38" s="456">
        <v>5.64</v>
      </c>
      <c r="I38" s="456">
        <v>5.96</v>
      </c>
      <c r="J38" s="456">
        <v>5.0999999999999996</v>
      </c>
      <c r="K38" s="456">
        <v>7.81</v>
      </c>
      <c r="L38" s="456">
        <v>5.48</v>
      </c>
      <c r="M38" s="456">
        <v>5.74</v>
      </c>
      <c r="N38" s="456">
        <v>4.91</v>
      </c>
      <c r="O38" s="456">
        <v>7.81</v>
      </c>
      <c r="P38" s="456">
        <v>6.05</v>
      </c>
      <c r="Q38" s="456">
        <v>5.64</v>
      </c>
      <c r="R38" s="456">
        <v>4.84</v>
      </c>
      <c r="S38" s="456">
        <v>7.81</v>
      </c>
      <c r="T38" s="456">
        <v>6.35</v>
      </c>
      <c r="U38" s="456">
        <v>6.11</v>
      </c>
      <c r="V38" s="456">
        <v>5.71</v>
      </c>
      <c r="W38" s="456">
        <v>7.81</v>
      </c>
      <c r="X38" s="456">
        <v>6.72</v>
      </c>
      <c r="Y38" s="456">
        <v>6.43</v>
      </c>
      <c r="Z38" s="456">
        <v>5.75</v>
      </c>
      <c r="AA38" s="456">
        <v>7.81</v>
      </c>
      <c r="AB38" s="456">
        <v>6.6</v>
      </c>
      <c r="AC38" s="456">
        <v>6.37</v>
      </c>
      <c r="AD38" s="456">
        <v>6.06</v>
      </c>
      <c r="AE38" s="456">
        <v>7.81</v>
      </c>
      <c r="AF38" s="456">
        <v>6</v>
      </c>
      <c r="AG38" s="456">
        <v>6.75</v>
      </c>
      <c r="AH38" s="456">
        <v>6.45</v>
      </c>
      <c r="AI38" s="456">
        <v>7.81</v>
      </c>
      <c r="AJ38" s="456">
        <v>6</v>
      </c>
      <c r="AK38" s="456">
        <v>6.75</v>
      </c>
      <c r="AL38" s="456">
        <v>6.45</v>
      </c>
      <c r="AM38" s="456">
        <v>7.78</v>
      </c>
      <c r="AN38" s="456">
        <v>7.78</v>
      </c>
      <c r="AO38" s="456">
        <v>7.77</v>
      </c>
    </row>
    <row r="39" spans="2:41" x14ac:dyDescent="0.3">
      <c r="B39" s="533"/>
      <c r="C39" s="482" t="s">
        <v>232</v>
      </c>
      <c r="D39" s="461">
        <v>583.37</v>
      </c>
      <c r="E39" s="461">
        <v>973.45</v>
      </c>
      <c r="F39" s="461">
        <v>1011.96</v>
      </c>
      <c r="G39" s="461">
        <v>485.98</v>
      </c>
      <c r="H39" s="461">
        <v>597.32000000000005</v>
      </c>
      <c r="I39" s="461">
        <v>1004.45</v>
      </c>
      <c r="J39" s="461">
        <v>1016.94</v>
      </c>
      <c r="K39" s="461">
        <v>485.98</v>
      </c>
      <c r="L39" s="461">
        <v>605.17999999999995</v>
      </c>
      <c r="M39" s="461">
        <v>1010.98</v>
      </c>
      <c r="N39" s="461">
        <v>1015.56</v>
      </c>
      <c r="O39" s="461">
        <v>485.98</v>
      </c>
      <c r="P39" s="461">
        <v>1071.48</v>
      </c>
      <c r="Q39" s="461">
        <v>641.17999999999995</v>
      </c>
      <c r="R39" s="461">
        <v>1096.5899999999999</v>
      </c>
      <c r="S39" s="461">
        <v>485.98</v>
      </c>
      <c r="T39" s="461">
        <v>1019.61</v>
      </c>
      <c r="U39" s="461">
        <v>644.97</v>
      </c>
      <c r="V39" s="461">
        <v>997.54</v>
      </c>
      <c r="W39" s="461">
        <v>485.98</v>
      </c>
      <c r="X39" s="461">
        <v>1086.02</v>
      </c>
      <c r="Y39" s="461">
        <v>643.38</v>
      </c>
      <c r="Z39" s="461">
        <v>1073.25</v>
      </c>
      <c r="AA39" s="461">
        <v>485.98</v>
      </c>
      <c r="AB39" s="461">
        <v>1241.24</v>
      </c>
      <c r="AC39" s="461">
        <v>700.06</v>
      </c>
      <c r="AD39" s="461">
        <v>1377.19</v>
      </c>
      <c r="AE39" s="461">
        <v>485.98</v>
      </c>
      <c r="AF39" s="461">
        <v>1079.24</v>
      </c>
      <c r="AG39" s="461">
        <v>647.27</v>
      </c>
      <c r="AH39" s="461">
        <v>1105.23</v>
      </c>
      <c r="AI39" s="461">
        <v>485.98</v>
      </c>
      <c r="AJ39" s="461">
        <v>1079.24</v>
      </c>
      <c r="AK39" s="461">
        <v>647.27</v>
      </c>
      <c r="AL39" s="461">
        <v>1105.23</v>
      </c>
      <c r="AM39" s="461">
        <v>505.12</v>
      </c>
      <c r="AN39" s="461">
        <v>491.18</v>
      </c>
      <c r="AO39" s="461">
        <v>505.96</v>
      </c>
    </row>
    <row r="40" spans="2:41" x14ac:dyDescent="0.3">
      <c r="B40" s="480"/>
      <c r="C40" s="477"/>
      <c r="D40" s="455"/>
      <c r="E40" s="455"/>
      <c r="F40" s="455"/>
      <c r="G40" s="455"/>
      <c r="H40" s="455"/>
      <c r="I40" s="455"/>
      <c r="J40" s="455"/>
      <c r="K40" s="455"/>
      <c r="L40" s="455"/>
      <c r="M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5"/>
    </row>
    <row r="41" spans="2:41" x14ac:dyDescent="0.3">
      <c r="B41" s="536" t="s">
        <v>237</v>
      </c>
      <c r="C41" s="475" t="s">
        <v>229</v>
      </c>
      <c r="D41" s="462">
        <v>80.709999999999994</v>
      </c>
      <c r="E41" s="462">
        <v>78.02</v>
      </c>
      <c r="F41" s="462">
        <v>73.709999999999994</v>
      </c>
      <c r="G41" s="462">
        <v>224.53</v>
      </c>
      <c r="H41" s="462">
        <v>81.069999999999993</v>
      </c>
      <c r="I41" s="462">
        <v>78.36</v>
      </c>
      <c r="J41" s="462">
        <v>74.040000000000006</v>
      </c>
      <c r="K41" s="462">
        <v>224.53</v>
      </c>
      <c r="L41" s="462">
        <v>80.040000000000006</v>
      </c>
      <c r="M41" s="462">
        <v>77.319999999999993</v>
      </c>
      <c r="N41" s="462">
        <v>73.099999999999994</v>
      </c>
      <c r="O41" s="462">
        <v>224.53</v>
      </c>
      <c r="P41" s="462">
        <v>80.790000000000006</v>
      </c>
      <c r="Q41" s="462">
        <v>83.67</v>
      </c>
      <c r="R41" s="462">
        <v>76.41</v>
      </c>
      <c r="S41" s="462">
        <v>224.53</v>
      </c>
      <c r="T41" s="462">
        <v>61.16</v>
      </c>
      <c r="U41" s="462">
        <v>63.68</v>
      </c>
      <c r="V41" s="462">
        <v>58.16</v>
      </c>
      <c r="W41" s="462">
        <v>224.53</v>
      </c>
      <c r="X41" s="462">
        <v>62.43</v>
      </c>
      <c r="Y41" s="462">
        <v>64.98</v>
      </c>
      <c r="Z41" s="462">
        <v>59.34</v>
      </c>
      <c r="AA41" s="462">
        <v>224.53</v>
      </c>
      <c r="AB41" s="457">
        <v>85.36</v>
      </c>
      <c r="AC41" s="462">
        <f>+AC37</f>
        <v>88.34</v>
      </c>
      <c r="AD41" s="457">
        <v>80.680000000000007</v>
      </c>
      <c r="AE41" s="462">
        <v>224.53</v>
      </c>
      <c r="AF41" s="457">
        <v>87.05</v>
      </c>
      <c r="AG41" s="462">
        <v>90.09</v>
      </c>
      <c r="AH41" s="457">
        <v>82.27</v>
      </c>
      <c r="AI41" s="462">
        <v>224.53</v>
      </c>
      <c r="AJ41" s="457">
        <v>87.05</v>
      </c>
      <c r="AK41" s="462">
        <v>90.09</v>
      </c>
      <c r="AL41" s="457">
        <v>82.27</v>
      </c>
      <c r="AM41" s="457">
        <v>220.1</v>
      </c>
      <c r="AN41" s="462">
        <v>220.19</v>
      </c>
      <c r="AO41" s="457">
        <v>219.94</v>
      </c>
    </row>
    <row r="42" spans="2:41" x14ac:dyDescent="0.3">
      <c r="B42" s="536"/>
      <c r="C42" s="478" t="s">
        <v>231</v>
      </c>
      <c r="D42" s="463">
        <v>6.05</v>
      </c>
      <c r="E42" s="463">
        <v>6.37</v>
      </c>
      <c r="F42" s="463">
        <v>6.13</v>
      </c>
      <c r="G42" s="463">
        <v>7.38</v>
      </c>
      <c r="H42" s="463">
        <v>5.64</v>
      </c>
      <c r="I42" s="463">
        <v>5.92</v>
      </c>
      <c r="J42" s="463">
        <v>5.0999999999999996</v>
      </c>
      <c r="K42" s="463">
        <v>7.38</v>
      </c>
      <c r="L42" s="463">
        <v>5.48</v>
      </c>
      <c r="M42" s="463">
        <v>5.74</v>
      </c>
      <c r="N42" s="463">
        <v>4.91</v>
      </c>
      <c r="O42" s="463">
        <v>7.38</v>
      </c>
      <c r="P42" s="463">
        <v>6.05</v>
      </c>
      <c r="Q42" s="463">
        <v>5.64</v>
      </c>
      <c r="R42" s="463">
        <v>4.84</v>
      </c>
      <c r="S42" s="463">
        <v>7.38</v>
      </c>
      <c r="T42" s="463">
        <v>6.35</v>
      </c>
      <c r="U42" s="463">
        <v>6.11</v>
      </c>
      <c r="V42" s="463">
        <v>5.71</v>
      </c>
      <c r="W42" s="463">
        <v>7.38</v>
      </c>
      <c r="X42" s="463">
        <v>6.72</v>
      </c>
      <c r="Y42" s="463">
        <v>6.43</v>
      </c>
      <c r="Z42" s="463">
        <v>5.75</v>
      </c>
      <c r="AA42" s="463">
        <v>7.38</v>
      </c>
      <c r="AB42" s="456">
        <v>6.6</v>
      </c>
      <c r="AC42" s="463">
        <f>+AC38</f>
        <v>6.37</v>
      </c>
      <c r="AD42" s="456">
        <v>6.06</v>
      </c>
      <c r="AE42" s="463">
        <v>7.38</v>
      </c>
      <c r="AF42" s="456">
        <v>6.82</v>
      </c>
      <c r="AG42" s="463">
        <v>6.75</v>
      </c>
      <c r="AH42" s="456">
        <v>6.45</v>
      </c>
      <c r="AI42" s="463">
        <v>7.38</v>
      </c>
      <c r="AJ42" s="456">
        <v>6.82</v>
      </c>
      <c r="AK42" s="463">
        <v>6.75</v>
      </c>
      <c r="AL42" s="456">
        <v>6.45</v>
      </c>
      <c r="AM42" s="456">
        <v>7.36</v>
      </c>
      <c r="AN42" s="463">
        <v>7.36</v>
      </c>
      <c r="AO42" s="456">
        <v>7.35</v>
      </c>
    </row>
    <row r="43" spans="2:41" x14ac:dyDescent="0.3">
      <c r="B43" s="536"/>
      <c r="C43" s="482" t="s">
        <v>232</v>
      </c>
      <c r="D43" s="464">
        <v>583.37</v>
      </c>
      <c r="E43" s="464">
        <v>973.45</v>
      </c>
      <c r="F43" s="464">
        <v>1011.96</v>
      </c>
      <c r="G43" s="464">
        <v>340.39</v>
      </c>
      <c r="H43" s="464">
        <v>597.32000000000005</v>
      </c>
      <c r="I43" s="464">
        <v>1004.45</v>
      </c>
      <c r="J43" s="464">
        <v>1016.94</v>
      </c>
      <c r="K43" s="464">
        <v>340.39</v>
      </c>
      <c r="L43" s="464">
        <v>605.17999999999995</v>
      </c>
      <c r="M43" s="464">
        <v>1010.98</v>
      </c>
      <c r="N43" s="464">
        <v>1015.56</v>
      </c>
      <c r="O43" s="464">
        <v>340.39</v>
      </c>
      <c r="P43" s="464">
        <v>1071.48</v>
      </c>
      <c r="Q43" s="464">
        <v>641.17999999999995</v>
      </c>
      <c r="R43" s="464">
        <v>1096.5899999999999</v>
      </c>
      <c r="S43" s="464">
        <v>340.39</v>
      </c>
      <c r="T43" s="464">
        <v>1019.61</v>
      </c>
      <c r="U43" s="464">
        <v>644.97</v>
      </c>
      <c r="V43" s="464">
        <v>997.54</v>
      </c>
      <c r="W43" s="464">
        <v>340.39</v>
      </c>
      <c r="X43" s="464">
        <v>1086.02</v>
      </c>
      <c r="Y43" s="464">
        <v>643.38</v>
      </c>
      <c r="Z43" s="464">
        <v>1073.25</v>
      </c>
      <c r="AA43" s="464">
        <v>340.39</v>
      </c>
      <c r="AB43" s="464">
        <v>1241.24</v>
      </c>
      <c r="AC43" s="464">
        <f>+AC39</f>
        <v>700.06</v>
      </c>
      <c r="AD43" s="464">
        <v>1377.19</v>
      </c>
      <c r="AE43" s="464">
        <v>340.39</v>
      </c>
      <c r="AF43" s="464">
        <v>1079.24</v>
      </c>
      <c r="AG43" s="464">
        <v>647.27</v>
      </c>
      <c r="AH43" s="464">
        <v>1105.23</v>
      </c>
      <c r="AI43" s="464">
        <v>340.39</v>
      </c>
      <c r="AJ43" s="464">
        <v>1079.24</v>
      </c>
      <c r="AK43" s="464">
        <v>647.27</v>
      </c>
      <c r="AL43" s="464">
        <v>1105.23</v>
      </c>
      <c r="AM43" s="464">
        <v>364.22</v>
      </c>
      <c r="AN43" s="464">
        <v>350.29</v>
      </c>
      <c r="AO43" s="464">
        <v>365.06</v>
      </c>
    </row>
    <row r="44" spans="2:41" x14ac:dyDescent="0.3">
      <c r="B44" s="480"/>
      <c r="C44" s="477"/>
      <c r="D44" s="455"/>
      <c r="E44" s="455"/>
      <c r="F44" s="455"/>
      <c r="G44" s="455"/>
      <c r="H44" s="455"/>
      <c r="I44" s="455"/>
      <c r="J44" s="455"/>
      <c r="K44" s="455"/>
      <c r="L44" s="455"/>
      <c r="M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  <c r="Y44" s="455"/>
      <c r="Z44" s="455"/>
      <c r="AA44" s="455"/>
      <c r="AB44" s="455"/>
      <c r="AC44" s="455"/>
      <c r="AD44" s="455"/>
      <c r="AE44" s="455"/>
      <c r="AF44" s="455"/>
      <c r="AG44" s="455"/>
      <c r="AH44" s="455"/>
      <c r="AI44" s="455"/>
      <c r="AJ44" s="455"/>
      <c r="AK44" s="455"/>
      <c r="AL44" s="455"/>
      <c r="AM44" s="455"/>
      <c r="AN44" s="455"/>
      <c r="AO44" s="455"/>
    </row>
    <row r="45" spans="2:41" x14ac:dyDescent="0.3">
      <c r="B45" s="533" t="s">
        <v>238</v>
      </c>
      <c r="C45" s="475" t="s">
        <v>229</v>
      </c>
      <c r="D45" s="455">
        <v>80.709999999999994</v>
      </c>
      <c r="E45" s="465">
        <v>78.02</v>
      </c>
      <c r="F45" s="465">
        <v>73.709999999999994</v>
      </c>
      <c r="G45" s="462">
        <v>224.53</v>
      </c>
      <c r="H45" s="455">
        <v>81.069999999999993</v>
      </c>
      <c r="I45" s="465">
        <v>78.36</v>
      </c>
      <c r="J45" s="465">
        <v>74.040000000000006</v>
      </c>
      <c r="K45" s="462">
        <v>224.53</v>
      </c>
      <c r="L45" s="455">
        <v>80.040000000000006</v>
      </c>
      <c r="M45" s="465">
        <v>77.319999999999993</v>
      </c>
      <c r="N45" s="465">
        <v>73.099999999999994</v>
      </c>
      <c r="O45" s="462">
        <v>224.53</v>
      </c>
      <c r="P45" s="455">
        <v>80.790000000000006</v>
      </c>
      <c r="Q45" s="465">
        <v>83.67</v>
      </c>
      <c r="R45" s="465">
        <v>76.42</v>
      </c>
      <c r="S45" s="462">
        <v>224.53</v>
      </c>
      <c r="T45" s="455">
        <v>61.16</v>
      </c>
      <c r="U45" s="465">
        <v>63.68</v>
      </c>
      <c r="V45" s="465">
        <v>58.16</v>
      </c>
      <c r="W45" s="462">
        <v>224.53</v>
      </c>
      <c r="X45" s="455">
        <v>62.43</v>
      </c>
      <c r="Y45" s="465">
        <v>64.98</v>
      </c>
      <c r="Z45" s="465">
        <v>59.34</v>
      </c>
      <c r="AA45" s="462">
        <v>224.53</v>
      </c>
      <c r="AB45" s="457">
        <v>85.36</v>
      </c>
      <c r="AC45" s="465">
        <f>+AC41</f>
        <v>88.34</v>
      </c>
      <c r="AD45" s="457">
        <v>80.680000000000007</v>
      </c>
      <c r="AE45" s="462">
        <v>224.53</v>
      </c>
      <c r="AF45" s="457">
        <v>87.05</v>
      </c>
      <c r="AG45" s="465">
        <v>90.09</v>
      </c>
      <c r="AH45" s="457">
        <v>82.27</v>
      </c>
      <c r="AI45" s="462">
        <v>224.53</v>
      </c>
      <c r="AJ45" s="457">
        <v>87.05</v>
      </c>
      <c r="AK45" s="465">
        <v>90.09</v>
      </c>
      <c r="AL45" s="457">
        <v>82.27</v>
      </c>
      <c r="AM45" s="457">
        <v>220.1</v>
      </c>
      <c r="AN45" s="465">
        <v>220.19</v>
      </c>
      <c r="AO45" s="457">
        <v>219.94</v>
      </c>
    </row>
    <row r="46" spans="2:41" x14ac:dyDescent="0.3">
      <c r="B46" s="533"/>
      <c r="C46" s="478" t="s">
        <v>231</v>
      </c>
      <c r="D46" s="463">
        <v>6.05</v>
      </c>
      <c r="E46" s="463">
        <v>6.37</v>
      </c>
      <c r="F46" s="463">
        <v>6.13</v>
      </c>
      <c r="G46" s="463">
        <v>7.26</v>
      </c>
      <c r="H46" s="463">
        <v>5.64</v>
      </c>
      <c r="I46" s="463">
        <v>5.92</v>
      </c>
      <c r="J46" s="463">
        <v>5.4</v>
      </c>
      <c r="K46" s="463">
        <v>7.26</v>
      </c>
      <c r="L46" s="463">
        <v>5.48</v>
      </c>
      <c r="M46" s="463">
        <v>5.74</v>
      </c>
      <c r="N46" s="463">
        <v>4.91</v>
      </c>
      <c r="O46" s="463">
        <v>7.26</v>
      </c>
      <c r="P46" s="463">
        <v>6.05</v>
      </c>
      <c r="Q46" s="463">
        <v>5.64</v>
      </c>
      <c r="R46" s="463">
        <v>4.84</v>
      </c>
      <c r="S46" s="463">
        <v>7.26</v>
      </c>
      <c r="T46" s="463">
        <v>6.35</v>
      </c>
      <c r="U46" s="463">
        <v>6.11</v>
      </c>
      <c r="V46" s="463">
        <v>5.71</v>
      </c>
      <c r="W46" s="463">
        <v>7.26</v>
      </c>
      <c r="X46" s="463">
        <v>6.72</v>
      </c>
      <c r="Y46" s="463">
        <v>6.43</v>
      </c>
      <c r="Z46" s="463">
        <v>5.75</v>
      </c>
      <c r="AA46" s="463">
        <v>7.26</v>
      </c>
      <c r="AB46" s="456">
        <v>6.6</v>
      </c>
      <c r="AC46" s="463">
        <f>+AC42</f>
        <v>6.37</v>
      </c>
      <c r="AD46" s="456">
        <v>6.06</v>
      </c>
      <c r="AE46" s="463">
        <v>7.26</v>
      </c>
      <c r="AF46" s="456">
        <v>6.82</v>
      </c>
      <c r="AG46" s="463">
        <v>6.75</v>
      </c>
      <c r="AH46" s="456">
        <v>6.45</v>
      </c>
      <c r="AI46" s="463">
        <v>7.26</v>
      </c>
      <c r="AJ46" s="456">
        <v>6.82</v>
      </c>
      <c r="AK46" s="463">
        <v>6.75</v>
      </c>
      <c r="AL46" s="456">
        <v>6.45</v>
      </c>
      <c r="AM46" s="456">
        <v>7.25</v>
      </c>
      <c r="AN46" s="463">
        <v>7.24</v>
      </c>
      <c r="AO46" s="456">
        <v>7.23</v>
      </c>
    </row>
    <row r="47" spans="2:41" x14ac:dyDescent="0.3">
      <c r="B47" s="533"/>
      <c r="C47" s="478" t="s">
        <v>234</v>
      </c>
      <c r="D47" s="463">
        <v>170.53</v>
      </c>
      <c r="E47" s="463">
        <v>254.46</v>
      </c>
      <c r="F47" s="463">
        <v>334.81</v>
      </c>
      <c r="G47" s="463">
        <v>97.33</v>
      </c>
      <c r="H47" s="463">
        <v>170.83</v>
      </c>
      <c r="I47" s="463">
        <v>254.71</v>
      </c>
      <c r="J47" s="463">
        <v>335.19</v>
      </c>
      <c r="K47" s="463">
        <v>97.33</v>
      </c>
      <c r="L47" s="463">
        <v>169.03</v>
      </c>
      <c r="M47" s="463">
        <v>251.47</v>
      </c>
      <c r="N47" s="463">
        <v>331.15</v>
      </c>
      <c r="O47" s="463">
        <v>97.33</v>
      </c>
      <c r="P47" s="463">
        <v>280.37</v>
      </c>
      <c r="Q47" s="463">
        <v>188.51</v>
      </c>
      <c r="R47" s="463">
        <v>369.15</v>
      </c>
      <c r="S47" s="463">
        <v>97.33</v>
      </c>
      <c r="T47" s="463">
        <v>241.88</v>
      </c>
      <c r="U47" s="463">
        <v>163.05000000000001</v>
      </c>
      <c r="V47" s="463">
        <v>319.58999999999997</v>
      </c>
      <c r="W47" s="463">
        <v>97.33</v>
      </c>
      <c r="X47" s="463">
        <v>262.97000000000003</v>
      </c>
      <c r="Y47" s="463">
        <v>177.43</v>
      </c>
      <c r="Z47" s="463">
        <v>347.09</v>
      </c>
      <c r="AA47" s="463">
        <v>97.33</v>
      </c>
      <c r="AB47" s="463">
        <v>336.52</v>
      </c>
      <c r="AC47" s="463">
        <v>226.26</v>
      </c>
      <c r="AD47" s="463">
        <v>441.11</v>
      </c>
      <c r="AE47" s="463">
        <v>97.33</v>
      </c>
      <c r="AF47" s="463">
        <v>328.16</v>
      </c>
      <c r="AG47" s="463">
        <v>220.03</v>
      </c>
      <c r="AH47" s="463">
        <v>430.36</v>
      </c>
      <c r="AI47" s="463">
        <v>97.33</v>
      </c>
      <c r="AJ47" s="463">
        <v>328.16</v>
      </c>
      <c r="AK47" s="463">
        <v>220.03</v>
      </c>
      <c r="AL47" s="463">
        <v>430.36</v>
      </c>
      <c r="AM47" s="463">
        <v>104.78</v>
      </c>
      <c r="AN47" s="463">
        <v>101.29</v>
      </c>
      <c r="AO47" s="463">
        <v>108.07</v>
      </c>
    </row>
    <row r="48" spans="2:41" x14ac:dyDescent="0.3">
      <c r="B48" s="533"/>
      <c r="C48" s="482" t="s">
        <v>235</v>
      </c>
      <c r="D48" s="464">
        <v>651.58000000000004</v>
      </c>
      <c r="E48" s="464">
        <v>1075.24</v>
      </c>
      <c r="F48" s="464">
        <v>1145.8900000000001</v>
      </c>
      <c r="G48" s="464">
        <v>985.26</v>
      </c>
      <c r="H48" s="464">
        <v>665.65</v>
      </c>
      <c r="I48" s="464">
        <v>1106.3399999999999</v>
      </c>
      <c r="J48" s="464">
        <v>1151.02</v>
      </c>
      <c r="K48" s="464">
        <v>985.26</v>
      </c>
      <c r="L48" s="464">
        <v>672.79</v>
      </c>
      <c r="M48" s="464">
        <v>1111.57</v>
      </c>
      <c r="N48" s="464">
        <v>1148.02</v>
      </c>
      <c r="O48" s="464">
        <v>985.26</v>
      </c>
      <c r="P48" s="464">
        <v>1183.6300000000001</v>
      </c>
      <c r="Q48" s="464">
        <v>716.58</v>
      </c>
      <c r="R48" s="464">
        <v>1244.25</v>
      </c>
      <c r="S48" s="464">
        <v>985.26</v>
      </c>
      <c r="T48" s="464">
        <v>1116.3599999999999</v>
      </c>
      <c r="U48" s="464">
        <v>710.19</v>
      </c>
      <c r="V48" s="464">
        <v>1125.3800000000001</v>
      </c>
      <c r="W48" s="464">
        <v>985.26</v>
      </c>
      <c r="X48" s="464">
        <v>1191.21</v>
      </c>
      <c r="Y48" s="464">
        <v>714.36</v>
      </c>
      <c r="Z48" s="464">
        <v>1212.08</v>
      </c>
      <c r="AA48" s="464">
        <v>985.26</v>
      </c>
      <c r="AB48" s="464">
        <v>1375.85</v>
      </c>
      <c r="AC48" s="464">
        <v>790.56</v>
      </c>
      <c r="AD48" s="464">
        <v>1553.63</v>
      </c>
      <c r="AE48" s="464">
        <v>985.26</v>
      </c>
      <c r="AF48" s="464">
        <v>1210.51</v>
      </c>
      <c r="AG48" s="464">
        <v>735.29</v>
      </c>
      <c r="AH48" s="464">
        <v>1277.3800000000001</v>
      </c>
      <c r="AI48" s="464">
        <v>985.26</v>
      </c>
      <c r="AJ48" s="464">
        <v>1210.51</v>
      </c>
      <c r="AK48" s="464">
        <v>735.29</v>
      </c>
      <c r="AL48" s="464">
        <v>1277.3800000000001</v>
      </c>
      <c r="AM48" s="464">
        <v>992.53</v>
      </c>
      <c r="AN48" s="464">
        <v>977.2</v>
      </c>
      <c r="AO48" s="464">
        <v>994.68</v>
      </c>
    </row>
  </sheetData>
  <mergeCells count="36">
    <mergeCell ref="B28:B30"/>
    <mergeCell ref="B32:B35"/>
    <mergeCell ref="B37:B39"/>
    <mergeCell ref="B41:B43"/>
    <mergeCell ref="B45:B48"/>
    <mergeCell ref="AF10:AH10"/>
    <mergeCell ref="AI10:AI11"/>
    <mergeCell ref="AJ10:AL10"/>
    <mergeCell ref="AM10:AO10"/>
    <mergeCell ref="B12:B19"/>
    <mergeCell ref="AB10:AD10"/>
    <mergeCell ref="AE10:AE11"/>
    <mergeCell ref="O10:O11"/>
    <mergeCell ref="P10:R10"/>
    <mergeCell ref="S10:S11"/>
    <mergeCell ref="B21:B26"/>
    <mergeCell ref="T10:V10"/>
    <mergeCell ref="W10:W11"/>
    <mergeCell ref="X10:Z10"/>
    <mergeCell ref="AA10:AA11"/>
    <mergeCell ref="D10:F10"/>
    <mergeCell ref="G10:G11"/>
    <mergeCell ref="H10:J10"/>
    <mergeCell ref="K10:K11"/>
    <mergeCell ref="L10:N10"/>
    <mergeCell ref="B9:B11"/>
    <mergeCell ref="C9:C11"/>
    <mergeCell ref="D9:G9"/>
    <mergeCell ref="H9:K9"/>
    <mergeCell ref="L9:O9"/>
    <mergeCell ref="P9:S9"/>
    <mergeCell ref="T9:W9"/>
    <mergeCell ref="X9:AA9"/>
    <mergeCell ref="AB9:AE9"/>
    <mergeCell ref="AF9:AI9"/>
    <mergeCell ref="AJ9:AO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26" sqref="C26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73" t="s">
        <v>317</v>
      </c>
    </row>
    <row r="2" spans="1:87" x14ac:dyDescent="0.3">
      <c r="B2" s="199"/>
      <c r="C2" s="201" t="s">
        <v>213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44" t="s">
        <v>215</v>
      </c>
      <c r="C6" s="544" t="s">
        <v>216</v>
      </c>
      <c r="D6" s="538">
        <v>40179</v>
      </c>
      <c r="E6" s="539"/>
      <c r="F6" s="538">
        <v>40210</v>
      </c>
      <c r="G6" s="539"/>
      <c r="H6" s="538">
        <v>40238</v>
      </c>
      <c r="I6" s="539"/>
      <c r="J6" s="538">
        <v>40269</v>
      </c>
      <c r="K6" s="539"/>
      <c r="L6" s="538">
        <v>40299</v>
      </c>
      <c r="M6" s="539"/>
      <c r="N6" s="538">
        <v>40330</v>
      </c>
      <c r="O6" s="539"/>
      <c r="P6" s="538">
        <v>40360</v>
      </c>
      <c r="Q6" s="539"/>
      <c r="R6" s="538">
        <v>40391</v>
      </c>
      <c r="S6" s="539"/>
      <c r="T6" s="538">
        <v>40422</v>
      </c>
      <c r="U6" s="539"/>
      <c r="V6" s="538">
        <v>40452</v>
      </c>
      <c r="W6" s="539"/>
      <c r="X6" s="538">
        <v>40483</v>
      </c>
      <c r="Y6" s="539"/>
      <c r="Z6" s="538">
        <v>40513</v>
      </c>
      <c r="AA6" s="539"/>
      <c r="AB6" s="538">
        <v>40544</v>
      </c>
      <c r="AC6" s="539"/>
      <c r="AD6" s="538">
        <v>40575</v>
      </c>
      <c r="AE6" s="539"/>
      <c r="AF6" s="538">
        <v>40603</v>
      </c>
      <c r="AG6" s="539"/>
      <c r="AH6" s="538">
        <v>40634</v>
      </c>
      <c r="AI6" s="539"/>
      <c r="AJ6" s="538">
        <v>40664</v>
      </c>
      <c r="AK6" s="539"/>
      <c r="AL6" s="538">
        <v>40695</v>
      </c>
      <c r="AM6" s="539"/>
      <c r="AN6" s="538">
        <v>40725</v>
      </c>
      <c r="AO6" s="539"/>
      <c r="AP6" s="538">
        <v>40756</v>
      </c>
      <c r="AQ6" s="539"/>
      <c r="AR6" s="538">
        <v>40787</v>
      </c>
      <c r="AS6" s="539"/>
      <c r="AT6" s="538">
        <v>40817</v>
      </c>
      <c r="AU6" s="539"/>
      <c r="AV6" s="538">
        <v>40848</v>
      </c>
      <c r="AW6" s="539"/>
      <c r="AX6" s="538">
        <v>40878</v>
      </c>
      <c r="AY6" s="539"/>
      <c r="AZ6" s="538">
        <v>40909</v>
      </c>
      <c r="BA6" s="539"/>
      <c r="BB6" s="538">
        <v>40940</v>
      </c>
      <c r="BC6" s="539"/>
      <c r="BD6" s="538">
        <v>40969</v>
      </c>
      <c r="BE6" s="539"/>
      <c r="BF6" s="538">
        <v>41000</v>
      </c>
      <c r="BG6" s="539"/>
      <c r="BH6" s="538">
        <v>41030</v>
      </c>
      <c r="BI6" s="539"/>
      <c r="BJ6" s="538">
        <v>41061</v>
      </c>
      <c r="BK6" s="539"/>
      <c r="BL6" s="538">
        <v>41091</v>
      </c>
      <c r="BM6" s="539"/>
      <c r="BN6" s="538">
        <v>41122</v>
      </c>
      <c r="BO6" s="539"/>
      <c r="BP6" s="538">
        <v>41153</v>
      </c>
      <c r="BQ6" s="539"/>
      <c r="BR6" s="538">
        <v>41183</v>
      </c>
      <c r="BS6" s="539"/>
      <c r="BT6" s="538">
        <v>41214</v>
      </c>
      <c r="BU6" s="539"/>
      <c r="BV6" s="538">
        <v>41244</v>
      </c>
      <c r="BW6" s="539"/>
      <c r="BX6" s="538">
        <v>41275</v>
      </c>
      <c r="BY6" s="539"/>
      <c r="BZ6" s="538">
        <v>41306</v>
      </c>
      <c r="CA6" s="539"/>
      <c r="CB6" s="538">
        <v>41334</v>
      </c>
      <c r="CC6" s="539"/>
      <c r="CD6" s="538">
        <v>41365</v>
      </c>
      <c r="CE6" s="539"/>
      <c r="CF6" s="538">
        <v>41395</v>
      </c>
      <c r="CG6" s="539"/>
      <c r="CH6" s="538">
        <v>41426</v>
      </c>
      <c r="CI6" s="539"/>
    </row>
    <row r="7" spans="1:87" ht="12.75" customHeight="1" x14ac:dyDescent="0.3">
      <c r="B7" s="544"/>
      <c r="C7" s="544"/>
      <c r="D7" s="540" t="s">
        <v>218</v>
      </c>
      <c r="E7" s="542" t="s">
        <v>217</v>
      </c>
      <c r="F7" s="540" t="s">
        <v>218</v>
      </c>
      <c r="G7" s="542" t="s">
        <v>217</v>
      </c>
      <c r="H7" s="540" t="s">
        <v>218</v>
      </c>
      <c r="I7" s="542" t="s">
        <v>217</v>
      </c>
      <c r="J7" s="540" t="s">
        <v>218</v>
      </c>
      <c r="K7" s="542" t="s">
        <v>217</v>
      </c>
      <c r="L7" s="540" t="s">
        <v>218</v>
      </c>
      <c r="M7" s="542" t="s">
        <v>217</v>
      </c>
      <c r="N7" s="540" t="s">
        <v>218</v>
      </c>
      <c r="O7" s="542" t="s">
        <v>217</v>
      </c>
      <c r="P7" s="540" t="s">
        <v>218</v>
      </c>
      <c r="Q7" s="542" t="s">
        <v>217</v>
      </c>
      <c r="R7" s="540" t="s">
        <v>218</v>
      </c>
      <c r="S7" s="542" t="s">
        <v>217</v>
      </c>
      <c r="T7" s="540" t="s">
        <v>218</v>
      </c>
      <c r="U7" s="542" t="s">
        <v>217</v>
      </c>
      <c r="V7" s="540" t="s">
        <v>218</v>
      </c>
      <c r="W7" s="542" t="s">
        <v>217</v>
      </c>
      <c r="X7" s="540" t="s">
        <v>218</v>
      </c>
      <c r="Y7" s="542" t="s">
        <v>217</v>
      </c>
      <c r="Z7" s="540" t="s">
        <v>218</v>
      </c>
      <c r="AA7" s="542" t="s">
        <v>217</v>
      </c>
      <c r="AB7" s="540" t="s">
        <v>218</v>
      </c>
      <c r="AC7" s="542" t="s">
        <v>217</v>
      </c>
      <c r="AD7" s="540" t="s">
        <v>218</v>
      </c>
      <c r="AE7" s="542" t="s">
        <v>217</v>
      </c>
      <c r="AF7" s="540" t="s">
        <v>218</v>
      </c>
      <c r="AG7" s="542" t="s">
        <v>217</v>
      </c>
      <c r="AH7" s="540" t="s">
        <v>218</v>
      </c>
      <c r="AI7" s="542" t="s">
        <v>217</v>
      </c>
      <c r="AJ7" s="540" t="s">
        <v>218</v>
      </c>
      <c r="AK7" s="542" t="s">
        <v>217</v>
      </c>
      <c r="AL7" s="540" t="s">
        <v>218</v>
      </c>
      <c r="AM7" s="542" t="s">
        <v>217</v>
      </c>
      <c r="AN7" s="540" t="s">
        <v>218</v>
      </c>
      <c r="AO7" s="542" t="s">
        <v>217</v>
      </c>
      <c r="AP7" s="540" t="s">
        <v>218</v>
      </c>
      <c r="AQ7" s="542" t="s">
        <v>217</v>
      </c>
      <c r="AR7" s="540" t="s">
        <v>218</v>
      </c>
      <c r="AS7" s="542" t="s">
        <v>217</v>
      </c>
      <c r="AT7" s="540" t="s">
        <v>218</v>
      </c>
      <c r="AU7" s="542" t="s">
        <v>217</v>
      </c>
      <c r="AV7" s="540" t="s">
        <v>218</v>
      </c>
      <c r="AW7" s="542" t="s">
        <v>217</v>
      </c>
      <c r="AX7" s="540" t="s">
        <v>218</v>
      </c>
      <c r="AY7" s="542" t="s">
        <v>217</v>
      </c>
      <c r="AZ7" s="540" t="s">
        <v>218</v>
      </c>
      <c r="BA7" s="542" t="s">
        <v>217</v>
      </c>
      <c r="BB7" s="540" t="s">
        <v>218</v>
      </c>
      <c r="BC7" s="542" t="s">
        <v>217</v>
      </c>
      <c r="BD7" s="540" t="s">
        <v>218</v>
      </c>
      <c r="BE7" s="542" t="s">
        <v>217</v>
      </c>
      <c r="BF7" s="540" t="s">
        <v>218</v>
      </c>
      <c r="BG7" s="542" t="s">
        <v>217</v>
      </c>
      <c r="BH7" s="540" t="s">
        <v>218</v>
      </c>
      <c r="BI7" s="542" t="s">
        <v>217</v>
      </c>
      <c r="BJ7" s="540" t="s">
        <v>218</v>
      </c>
      <c r="BK7" s="542" t="s">
        <v>217</v>
      </c>
      <c r="BL7" s="540" t="s">
        <v>218</v>
      </c>
      <c r="BM7" s="542" t="s">
        <v>217</v>
      </c>
      <c r="BN7" s="540" t="s">
        <v>218</v>
      </c>
      <c r="BO7" s="542" t="s">
        <v>217</v>
      </c>
      <c r="BP7" s="540" t="s">
        <v>218</v>
      </c>
      <c r="BQ7" s="542" t="s">
        <v>217</v>
      </c>
      <c r="BR7" s="540" t="s">
        <v>218</v>
      </c>
      <c r="BS7" s="542" t="s">
        <v>217</v>
      </c>
      <c r="BT7" s="540" t="s">
        <v>218</v>
      </c>
      <c r="BU7" s="542" t="s">
        <v>217</v>
      </c>
      <c r="BV7" s="540" t="s">
        <v>218</v>
      </c>
      <c r="BW7" s="542" t="s">
        <v>217</v>
      </c>
      <c r="BX7" s="540" t="s">
        <v>218</v>
      </c>
      <c r="BY7" s="542" t="s">
        <v>217</v>
      </c>
      <c r="BZ7" s="540" t="s">
        <v>218</v>
      </c>
      <c r="CA7" s="542" t="s">
        <v>217</v>
      </c>
      <c r="CB7" s="540" t="s">
        <v>218</v>
      </c>
      <c r="CC7" s="542" t="s">
        <v>217</v>
      </c>
      <c r="CD7" s="540" t="s">
        <v>218</v>
      </c>
      <c r="CE7" s="542" t="s">
        <v>217</v>
      </c>
      <c r="CF7" s="540" t="s">
        <v>218</v>
      </c>
      <c r="CG7" s="542" t="s">
        <v>217</v>
      </c>
      <c r="CH7" s="540" t="s">
        <v>218</v>
      </c>
      <c r="CI7" s="542" t="s">
        <v>217</v>
      </c>
    </row>
    <row r="8" spans="1:87" x14ac:dyDescent="0.3">
      <c r="B8" s="544"/>
      <c r="C8" s="544"/>
      <c r="D8" s="541"/>
      <c r="E8" s="543"/>
      <c r="F8" s="541"/>
      <c r="G8" s="543"/>
      <c r="H8" s="541"/>
      <c r="I8" s="543"/>
      <c r="J8" s="541"/>
      <c r="K8" s="543"/>
      <c r="L8" s="541"/>
      <c r="M8" s="543"/>
      <c r="N8" s="541"/>
      <c r="O8" s="543"/>
      <c r="P8" s="541"/>
      <c r="Q8" s="543"/>
      <c r="R8" s="541"/>
      <c r="S8" s="543"/>
      <c r="T8" s="541"/>
      <c r="U8" s="543"/>
      <c r="V8" s="541"/>
      <c r="W8" s="543"/>
      <c r="X8" s="541"/>
      <c r="Y8" s="543"/>
      <c r="Z8" s="541"/>
      <c r="AA8" s="543"/>
      <c r="AB8" s="541"/>
      <c r="AC8" s="543"/>
      <c r="AD8" s="541"/>
      <c r="AE8" s="543"/>
      <c r="AF8" s="541"/>
      <c r="AG8" s="543"/>
      <c r="AH8" s="541"/>
      <c r="AI8" s="543"/>
      <c r="AJ8" s="541"/>
      <c r="AK8" s="543"/>
      <c r="AL8" s="541"/>
      <c r="AM8" s="543"/>
      <c r="AN8" s="541"/>
      <c r="AO8" s="543"/>
      <c r="AP8" s="541"/>
      <c r="AQ8" s="543"/>
      <c r="AR8" s="541"/>
      <c r="AS8" s="543"/>
      <c r="AT8" s="541"/>
      <c r="AU8" s="543"/>
      <c r="AV8" s="541"/>
      <c r="AW8" s="543"/>
      <c r="AX8" s="541"/>
      <c r="AY8" s="543"/>
      <c r="AZ8" s="541"/>
      <c r="BA8" s="543"/>
      <c r="BB8" s="541"/>
      <c r="BC8" s="543"/>
      <c r="BD8" s="541"/>
      <c r="BE8" s="543"/>
      <c r="BF8" s="541"/>
      <c r="BG8" s="543"/>
      <c r="BH8" s="541"/>
      <c r="BI8" s="543"/>
      <c r="BJ8" s="541"/>
      <c r="BK8" s="543"/>
      <c r="BL8" s="541"/>
      <c r="BM8" s="543"/>
      <c r="BN8" s="541"/>
      <c r="BO8" s="543"/>
      <c r="BP8" s="541"/>
      <c r="BQ8" s="543"/>
      <c r="BR8" s="541"/>
      <c r="BS8" s="543"/>
      <c r="BT8" s="541"/>
      <c r="BU8" s="543"/>
      <c r="BV8" s="541"/>
      <c r="BW8" s="543"/>
      <c r="BX8" s="541"/>
      <c r="BY8" s="543"/>
      <c r="BZ8" s="541"/>
      <c r="CA8" s="543"/>
      <c r="CB8" s="541"/>
      <c r="CC8" s="543"/>
      <c r="CD8" s="541"/>
      <c r="CE8" s="543"/>
      <c r="CF8" s="541"/>
      <c r="CG8" s="543"/>
      <c r="CH8" s="541"/>
      <c r="CI8" s="543"/>
    </row>
    <row r="9" spans="1:87" x14ac:dyDescent="0.3">
      <c r="B9" s="545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46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46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46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46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46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46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46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46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46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46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46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46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46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46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46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46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47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45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46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46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46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46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46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46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46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46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47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45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46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47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45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46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46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47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45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46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47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45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46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47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45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46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46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47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Anexo Deuda</vt:lpstr>
      <vt:lpstr>Hoja1</vt:lpstr>
      <vt:lpstr>Nuevo Formato Tarifas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2022-01-20T19:11:24Z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